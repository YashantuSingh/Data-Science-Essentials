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YASHANTU AWANA\OneDrive\Desktop\Assignments\"/>
    </mc:Choice>
  </mc:AlternateContent>
  <xr:revisionPtr revIDLastSave="0" documentId="13_ncr:1_{52497493-E773-480D-B484-7DFD7D503C8F}" xr6:coauthVersionLast="47" xr6:coauthVersionMax="47" xr10:uidLastSave="{00000000-0000-0000-0000-000000000000}"/>
  <bookViews>
    <workbookView xWindow="-110" yWindow="-110" windowWidth="19420" windowHeight="10300" activeTab="2" xr2:uid="{F6A5E0FC-270C-4367-938F-CD86DB06EF20}"/>
  </bookViews>
  <sheets>
    <sheet name="Yashantu singh Assignment 2" sheetId="1" r:id="rId1"/>
    <sheet name="Pivot Table" sheetId="2" r:id="rId2"/>
    <sheet name="VLOOKUP" sheetId="5" r:id="rId3"/>
    <sheet name="HLOOKUP" sheetId="4" r:id="rId4"/>
  </sheets>
  <definedNames>
    <definedName name="Slicer_Industry">#N/A</definedName>
    <definedName name="Slicer_Job_Title">#N/A</definedName>
    <definedName name="Slicer_Job_Title1">#N/A</definedName>
    <definedName name="Slicer_Seniority_Level">#N/A</definedName>
    <definedName name="Slicer_Status">#N/A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0"/>
        <x14:slicerCache r:id="rId11"/>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 i="4" l="1"/>
  <c r="D15" i="4"/>
  <c r="C15" i="4"/>
  <c r="D36" i="5"/>
  <c r="C36" i="5"/>
  <c r="D32" i="5"/>
  <c r="C32" i="5"/>
</calcChain>
</file>

<file path=xl/sharedStrings.xml><?xml version="1.0" encoding="utf-8"?>
<sst xmlns="http://schemas.openxmlformats.org/spreadsheetml/2006/main" count="5781" uniqueCount="1192">
  <si>
    <t>Job Title</t>
  </si>
  <si>
    <t>Seniority Level</t>
  </si>
  <si>
    <t>Status</t>
  </si>
  <si>
    <t>Company</t>
  </si>
  <si>
    <t>Location</t>
  </si>
  <si>
    <t>Post Date</t>
  </si>
  <si>
    <t>Headquarter</t>
  </si>
  <si>
    <t>Industry</t>
  </si>
  <si>
    <t>Ownership</t>
  </si>
  <si>
    <t>Company Size</t>
  </si>
  <si>
    <t>Skills</t>
  </si>
  <si>
    <t>Data Scientist</t>
  </si>
  <si>
    <t>Senior</t>
  </si>
  <si>
    <t>Hybrid</t>
  </si>
  <si>
    <t>Company_003</t>
  </si>
  <si>
    <t>Grapevine, TX . Hybrid</t>
  </si>
  <si>
    <t>17 days ago</t>
  </si>
  <si>
    <t>Bentonville, AR, US</t>
  </si>
  <si>
    <t>Retail</t>
  </si>
  <si>
    <t>Public</t>
  </si>
  <si>
    <t>['spark', 'r', 'python', 'scala', 'machine learning', 'tensorflow']</t>
  </si>
  <si>
    <t>Lead</t>
  </si>
  <si>
    <t>Company_005</t>
  </si>
  <si>
    <t>Fort Worth, TX . Hybrid</t>
  </si>
  <si>
    <t>15 days ago</t>
  </si>
  <si>
    <t>Detroit, MI, US</t>
  </si>
  <si>
    <t>Manufacturing</t>
  </si>
  <si>
    <t>['spark', 'r', 'python', 'sql', 'machine learning']</t>
  </si>
  <si>
    <t>On-Site</t>
  </si>
  <si>
    <t>Company_007</t>
  </si>
  <si>
    <t>Austin, TX . Toronto, Ontario, Canada . Kirkland, WA . Orlando, FL . Edmonton, Alberta, Canada + 1 More</t>
  </si>
  <si>
    <t>a month ago</t>
  </si>
  <si>
    <t>Redwood City, CA, US</t>
  </si>
  <si>
    <t>Technology</t>
  </si>
  <si>
    <t>['aws', 'git', 'python', 'docker', 'sql', 'machine learning', 'gcp', 'kubernetes', 'deep learning']</t>
  </si>
  <si>
    <t>Company_008</t>
  </si>
  <si>
    <t>Chicago, IL . Scottsdale, AZ . Austin, TX . Hybrid</t>
  </si>
  <si>
    <t>8 days ago</t>
  </si>
  <si>
    <t>San Jose, CA, US</t>
  </si>
  <si>
    <t>['sql', 'r', 'python']</t>
  </si>
  <si>
    <t>Company_009</t>
  </si>
  <si>
    <t>On-site</t>
  </si>
  <si>
    <t>3 days ago</t>
  </si>
  <si>
    <t>Stamford, CT, US</t>
  </si>
  <si>
    <t>Finance</t>
  </si>
  <si>
    <t>Private</t>
  </si>
  <si>
    <t>['amazon', 'aws']</t>
  </si>
  <si>
    <t>Company_013</t>
  </si>
  <si>
    <t>New York, NY</t>
  </si>
  <si>
    <t>3 months ago</t>
  </si>
  <si>
    <t>New York, NY, US</t>
  </si>
  <si>
    <t>['scikit-learn', 'python', 'scala', 'sql', 'machine learning', 'tensorflow']</t>
  </si>
  <si>
    <t>Junior</t>
  </si>
  <si>
    <t>Company_014</t>
  </si>
  <si>
    <t>Berkeley, CA</t>
  </si>
  <si>
    <t>Berkeley, CA, US</t>
  </si>
  <si>
    <t>Education</t>
  </si>
  <si>
    <t>Machine Learning Engineer</t>
  </si>
  <si>
    <t>Company_015</t>
  </si>
  <si>
    <t>Menlo Park, CA</t>
  </si>
  <si>
    <t>9 days ago</t>
  </si>
  <si>
    <t>Menlo Park, CA, US</t>
  </si>
  <si>
    <t>['machine learning']</t>
  </si>
  <si>
    <t>Remote</t>
  </si>
  <si>
    <t>Company_019</t>
  </si>
  <si>
    <t>Fully Remote</t>
  </si>
  <si>
    <t>6 days ago</t>
  </si>
  <si>
    <t>Boston, MA, US</t>
  </si>
  <si>
    <t>Company_021</t>
  </si>
  <si>
    <t>a day ago</t>
  </si>
  <si>
    <t>San Francisco, CA, US</t>
  </si>
  <si>
    <t>Company_022</t>
  </si>
  <si>
    <t>Atlanta, GA</t>
  </si>
  <si>
    <t>Charlotte, NC, US</t>
  </si>
  <si>
    <t>['pytorch', 'r', 'python', 'sql', 'machine learning', 'keras', 'deep learning', 'tensorflow']</t>
  </si>
  <si>
    <t>Midlevel</t>
  </si>
  <si>
    <t>Company_027</t>
  </si>
  <si>
    <t>Greater Vancouver Metropolitan Area</t>
  </si>
  <si>
    <t>Vancouver, BC, CA</t>
  </si>
  <si>
    <t>['java', 'git', 'python']</t>
  </si>
  <si>
    <t>Company_029</t>
  </si>
  <si>
    <t>Minneapolis, MN . Fully Remote</t>
  </si>
  <si>
    <t>Golden Valley, MN, US</t>
  </si>
  <si>
    <t>['sql', 'machine learning', 'python']</t>
  </si>
  <si>
    <t>Company_031</t>
  </si>
  <si>
    <t>Titusville, NJ . Titusville, New Jersey, United States</t>
  </si>
  <si>
    <t>19 days ago</t>
  </si>
  <si>
    <t>New Brunswick, NJ, US</t>
  </si>
  <si>
    <t>Healthcare</t>
  </si>
  <si>
    <t>['sql', 'machine learning', 'r', 'python']</t>
  </si>
  <si>
    <t>Company_034</t>
  </si>
  <si>
    <t>Arlington, VA</t>
  </si>
  <si>
    <t>Baltimore, MD, US</t>
  </si>
  <si>
    <t>['pandas', 'powerbi', 'python', 'java', 'sql', 'machine learning', 'tableau']</t>
  </si>
  <si>
    <t>Company_037</t>
  </si>
  <si>
    <t>14 days ago</t>
  </si>
  <si>
    <t>Company_038</t>
  </si>
  <si>
    <t>Bengaluru, Karnataka, India</t>
  </si>
  <si>
    <t>Kista, SE</t>
  </si>
  <si>
    <t>['spark', 'aws', 'r', 'python', 'machine learning', 'gcp', 'deep learning', 'hadoop', 'azure']</t>
  </si>
  <si>
    <t>Company_039</t>
  </si>
  <si>
    <t>Charlotte, NC . On-site</t>
  </si>
  <si>
    <t>['aws', 'r', 'python', 'sql', 'machine learning', 'azure', 'tableau']</t>
  </si>
  <si>
    <t>Company_040</t>
  </si>
  <si>
    <t>13 days ago</t>
  </si>
  <si>
    <t>Company_041</t>
  </si>
  <si>
    <t>Basel, Basel, Switzerland</t>
  </si>
  <si>
    <t>BS, CH</t>
  </si>
  <si>
    <t>['pytorch', 'python', 'machine learning', 'deep learning', 'tensorflow']</t>
  </si>
  <si>
    <t>Company_043</t>
  </si>
  <si>
    <t>Toronto, Ontario, Canada . On-site</t>
  </si>
  <si>
    <t>Toronto, ON, CA</t>
  </si>
  <si>
    <t>['pytorch', 'spark', 'git', 'r', 'python', 'sql', 'machine learning', 'tensorflow']</t>
  </si>
  <si>
    <t>Company_044</t>
  </si>
  <si>
    <t>Findlay, OH . Denver, CO . San Antonio, TX</t>
  </si>
  <si>
    <t>Findlay, OH, US</t>
  </si>
  <si>
    <t>Energy</t>
  </si>
  <si>
    <t>['pytorch', 'scikit-learn', 'python', 'machine learning', 'deep learning', 'tensorflow']</t>
  </si>
  <si>
    <t>Company_045</t>
  </si>
  <si>
    <t>Toronto, Ontario, Canada</t>
  </si>
  <si>
    <t>['airflow', 'spark', 'machine learning', 'python']</t>
  </si>
  <si>
    <t>Company_046</t>
  </si>
  <si>
    <t>San Francisco, CA</t>
  </si>
  <si>
    <t>Company_047</t>
  </si>
  <si>
    <t>Bengaluru, KA, IN</t>
  </si>
  <si>
    <t>['deep learning', 'machine learning']</t>
  </si>
  <si>
    <t>Company_048</t>
  </si>
  <si>
    <t>Remote, US . Fully Remote</t>
  </si>
  <si>
    <t>Company_049</t>
  </si>
  <si>
    <t>Huntsville, AL . Merritt Island, FL . Seattle, WA</t>
  </si>
  <si>
    <t>Kent, WA, US</t>
  </si>
  <si>
    <t>['aws', 'git', 'r', 'python', 'docker', 'machine learning', 'kubernetes', 'deep learning', 'azure']</t>
  </si>
  <si>
    <t>Company_050</t>
  </si>
  <si>
    <t>Company_051</t>
  </si>
  <si>
    <t>Laurel, MD</t>
  </si>
  <si>
    <t>Laurel, MD, US</t>
  </si>
  <si>
    <t>['python']</t>
  </si>
  <si>
    <t>Company_052</t>
  </si>
  <si>
    <t>Amsterdam, North Holland, Netherlands</t>
  </si>
  <si>
    <t>Company_054</t>
  </si>
  <si>
    <t>Richmond, VA . On-site</t>
  </si>
  <si>
    <t>7 days ago</t>
  </si>
  <si>
    <t>Washington, DC, US</t>
  </si>
  <si>
    <t>['machine learning', 'python']</t>
  </si>
  <si>
    <t>Company_057</t>
  </si>
  <si>
    <t>Seattle, WA . Hybrid</t>
  </si>
  <si>
    <t>25 days ago</t>
  </si>
  <si>
    <t>Seattle, WA, US</t>
  </si>
  <si>
    <t>['r', 'python', 'sql', 'machine learning', 'tableau']</t>
  </si>
  <si>
    <t>Company_061</t>
  </si>
  <si>
    <t>Manchester, England, United Kingdom . Hybrid</t>
  </si>
  <si>
    <t>Manchester, GB</t>
  </si>
  <si>
    <t>['spark', 'python', 'airflow', 'sql', 'machine learning']</t>
  </si>
  <si>
    <t>Company_064</t>
  </si>
  <si>
    <t>Barcelona, Catalonia, Spain</t>
  </si>
  <si>
    <t>Barcelona, CT, ES</t>
  </si>
  <si>
    <t>['git', 'r', 'python', 'linux', 'bash']</t>
  </si>
  <si>
    <t>Company_065</t>
  </si>
  <si>
    <t>Cherry Hill, NJ, US</t>
  </si>
  <si>
    <t>['pandas', 'numpy', 'scikit-learn', 'python', 'sql', 'azure', 'tableau']</t>
  </si>
  <si>
    <t>Company_066</t>
  </si>
  <si>
    <t>Foster City, CA . Hybrid</t>
  </si>
  <si>
    <t>3 years ago</t>
  </si>
  <si>
    <t>Foster City, CA, US</t>
  </si>
  <si>
    <t>Company_067</t>
  </si>
  <si>
    <t>San Francisco, CA, US . Seattle, WA, US . Hybrid</t>
  </si>
  <si>
    <t>Company_069</t>
  </si>
  <si>
    <t>United States</t>
  </si>
  <si>
    <t>Chicago, IL, US</t>
  </si>
  <si>
    <t>['pytorch', 'spark', 'scikit-learn', 'python', 'neural network', 'machine learning', 'deep learning', 'tensorflow']</t>
  </si>
  <si>
    <t>Company_071</t>
  </si>
  <si>
    <t>Cambridge, MA</t>
  </si>
  <si>
    <t>Cambridge, MA, US</t>
  </si>
  <si>
    <t>Company_075</t>
  </si>
  <si>
    <t>20 days ago</t>
  </si>
  <si>
    <t>Atlanta, GA, US</t>
  </si>
  <si>
    <t>['sql', 'machine learning', 'tableau', 'python']</t>
  </si>
  <si>
    <t>Company_077</t>
  </si>
  <si>
    <t>United States . Fully Remote</t>
  </si>
  <si>
    <t>2 months ago</t>
  </si>
  <si>
    <t>Phoenix, AZ, US</t>
  </si>
  <si>
    <t>Company_078</t>
  </si>
  <si>
    <t>San Diego, CA</t>
  </si>
  <si>
    <t>San Diego, CA, US</t>
  </si>
  <si>
    <t>['pytorch', 'python', 'docker', 'sql', 'neural network', 'kubernetes', 'tensorflow']</t>
  </si>
  <si>
    <t>Company_080</t>
  </si>
  <si>
    <t>Toronto, Ontario, Canada . Montreal, Quebec, Canada . Hybrid</t>
  </si>
  <si>
    <t>['machine learning', 'r', 'python']</t>
  </si>
  <si>
    <t>Company_081</t>
  </si>
  <si>
    <t>New York, NY . Hybrid</t>
  </si>
  <si>
    <t>Company_084</t>
  </si>
  <si>
    <t>Cary, NC, US</t>
  </si>
  <si>
    <t>Company_089</t>
  </si>
  <si>
    <t>['aws', 'git', 'python', 'sql', 'machine learning']</t>
  </si>
  <si>
    <t>Seattle, WA</t>
  </si>
  <si>
    <t>['pandas', 'pytorch', 'aws', 'python', 'docker', 'machine learning', 'kubernetes', 'deep learning', 'azure', 'tensorflow']</t>
  </si>
  <si>
    <t>Company_092</t>
  </si>
  <si>
    <t>McLean, VA . Hybrid</t>
  </si>
  <si>
    <t>['java', 'machine learning', 'r', 'python']</t>
  </si>
  <si>
    <t>Company_093</t>
  </si>
  <si>
    <t>Seattle, Washington, United States . On-site</t>
  </si>
  <si>
    <t>12 days ago</t>
  </si>
  <si>
    <t>Company_094</t>
  </si>
  <si>
    <t>Warsaw, Mazowieckie, Poland . Prague, Prague, Czechia . Kyiv, Kyiv City, Ukraine</t>
  </si>
  <si>
    <t>['pandas', 'pytorch', 'r', 'python', 'machine learning', 'tensorflow']</t>
  </si>
  <si>
    <t>Company_095</t>
  </si>
  <si>
    <t>Sunnyvale, CA, US</t>
  </si>
  <si>
    <t>Company_096</t>
  </si>
  <si>
    <t>San Francisco, California, United States . On-site</t>
  </si>
  <si>
    <t>Company_098</t>
  </si>
  <si>
    <t>Bangalore, Karnataka</t>
  </si>
  <si>
    <t>5 months ago</t>
  </si>
  <si>
    <t>Company_099</t>
  </si>
  <si>
    <t>Toronto, Ontario, Canada . Hybrid</t>
  </si>
  <si>
    <t>Calgary, AB, CA</t>
  </si>
  <si>
    <t>['sql', 'tableau', 'python']</t>
  </si>
  <si>
    <t>Company_100</t>
  </si>
  <si>
    <t>Rock Island, IL . On-site</t>
  </si>
  <si>
    <t>Hook, GB</t>
  </si>
  <si>
    <t>['scikit-learn', 'r', 'python', 'java', 'machine learning']</t>
  </si>
  <si>
    <t>Company_101</t>
  </si>
  <si>
    <t>Cambridge, England, United Kingdom</t>
  </si>
  <si>
    <t>Cambridge, GB</t>
  </si>
  <si>
    <t>Company_103</t>
  </si>
  <si>
    <t>Oregon, United States . Fully Remote</t>
  </si>
  <si>
    <t>4 days ago</t>
  </si>
  <si>
    <t>Beaverton, OR, US</t>
  </si>
  <si>
    <t>['pandas', 'powerbi', 'r', 'python', 'sql', 'neural network', 'machine learning', 'deep learning', 'tableau']</t>
  </si>
  <si>
    <t>Company_106</t>
  </si>
  <si>
    <t>Pune, Maharashtra, India</t>
  </si>
  <si>
    <t>KÃ¸benhavn, DK</t>
  </si>
  <si>
    <t>Logistics</t>
  </si>
  <si>
    <t>['spark', 'aws', 'powerbi', 'python', 'docker', 'sql', 'machine learning', 'gcp', 'kubernetes', 'deep learning', 'azure']</t>
  </si>
  <si>
    <t>Denver, CO</t>
  </si>
  <si>
    <t>Company_112</t>
  </si>
  <si>
    <t>Company_113</t>
  </si>
  <si>
    <t>Charlotte, NC</t>
  </si>
  <si>
    <t>Mooresville, NC, US</t>
  </si>
  <si>
    <t>['sql', 'deep learning', 'machine learning']</t>
  </si>
  <si>
    <t>Company_115</t>
  </si>
  <si>
    <t>Bengaluru, Karnataka, India . Hybrid</t>
  </si>
  <si>
    <t>Frankfurt am Main, HE, DE</t>
  </si>
  <si>
    <t>['pytorch', 'aws', 'python', 'sql', 'gcp', 'azure', 'tensorflow']</t>
  </si>
  <si>
    <t>Company_116</t>
  </si>
  <si>
    <t>Chennai, Tamil Nadu, India</t>
  </si>
  <si>
    <t>2 days ago</t>
  </si>
  <si>
    <t>Dearborn, MI, US</t>
  </si>
  <si>
    <t>['pandas', 'numpy', 'pytorch', 'powerbi', 'git', 'scikit-learn', 'python', 'java', 'sql', 'neural network', 'gcp', 'machine learning', 'matplotlib', 'tensorflow']</t>
  </si>
  <si>
    <t>Company_119</t>
  </si>
  <si>
    <t>Menlo Park, CA . On-site</t>
  </si>
  <si>
    <t>West Menlo Park, CA, US</t>
  </si>
  <si>
    <t>['machine learning', 'database']</t>
  </si>
  <si>
    <t>Company_121</t>
  </si>
  <si>
    <t>Remote, United States . Fully Remote</t>
  </si>
  <si>
    <t>San Francisco, CA, US . Remote, US . Fully Remote</t>
  </si>
  <si>
    <t>Company_126</t>
  </si>
  <si>
    <t>Company_129</t>
  </si>
  <si>
    <t>Pittsburgh, PA</t>
  </si>
  <si>
    <t>['python', 'java', 'sql', 'kubernetes', 'azure']</t>
  </si>
  <si>
    <t>Company_134</t>
  </si>
  <si>
    <t>Seattle, WA . Seattle, Washington, Ã‰tats-Unis . Seattle, Washington, USA</t>
  </si>
  <si>
    <t>['amazon', 'r', 'python', 'machine learning', 'deep learning']</t>
  </si>
  <si>
    <t>Company_135</t>
  </si>
  <si>
    <t>Taipei, Taiwan . On-site</t>
  </si>
  <si>
    <t>TW</t>
  </si>
  <si>
    <t>Company_137</t>
  </si>
  <si>
    <t>Denver, CO . Hybrid</t>
  </si>
  <si>
    <t>Denver, CO, US</t>
  </si>
  <si>
    <t>['spark', 'r', 'python', 'database', 'machine learning']</t>
  </si>
  <si>
    <t>Company_141</t>
  </si>
  <si>
    <t>Fort Worth, TX</t>
  </si>
  <si>
    <t>Bethesda, MD, US</t>
  </si>
  <si>
    <t>Company_145</t>
  </si>
  <si>
    <t>Austin, Texas . Hybrid</t>
  </si>
  <si>
    <t>Company_146</t>
  </si>
  <si>
    <t>Toronto, ON . Hybrid</t>
  </si>
  <si>
    <t>11 days ago</t>
  </si>
  <si>
    <t>Company_148</t>
  </si>
  <si>
    <t>Orlando, FL</t>
  </si>
  <si>
    <t>5 days ago</t>
  </si>
  <si>
    <t>['spark', 'r', 'python', 'sql', 'hadoop', 'machine learning']</t>
  </si>
  <si>
    <t>Company_153</t>
  </si>
  <si>
    <t>['pytorch', 'spark', 'aws', 'scikit-learn', 'python', 'docker', 'deep learning', 'java', 'sql', 'machine learning', 'gcp', 'kubernetes', 'hadoop', 'azure', 'tensorflow']</t>
  </si>
  <si>
    <t>Company_155</t>
  </si>
  <si>
    <t>All, MO</t>
  </si>
  <si>
    <t>['aws', 'scikit-learn', 'python', 'sql', 'machine learning', 'tensorflow']</t>
  </si>
  <si>
    <t>Company_156</t>
  </si>
  <si>
    <t>Mountain View, California (HQ) . On-site</t>
  </si>
  <si>
    <t>Mountain View, CA, US</t>
  </si>
  <si>
    <t>Company_158</t>
  </si>
  <si>
    <t>Reston, VA</t>
  </si>
  <si>
    <t>Falls Church, VA, US</t>
  </si>
  <si>
    <t>['aws', 'git', 'python', 'java', 'kubernetes', 'machine learning']</t>
  </si>
  <si>
    <t>Company_159</t>
  </si>
  <si>
    <t>Roseville, CA, US</t>
  </si>
  <si>
    <t>Company_164</t>
  </si>
  <si>
    <t>Redwood City, US, California . Hybrid</t>
  </si>
  <si>
    <t>MÃ¼nchen, BY, DE</t>
  </si>
  <si>
    <t>Company_166</t>
  </si>
  <si>
    <t>Veldhoven, North Brabant, Netherlands . On-site</t>
  </si>
  <si>
    <t>21 days ago</t>
  </si>
  <si>
    <t>Veldhoven, NB, NL</t>
  </si>
  <si>
    <t>['r']</t>
  </si>
  <si>
    <t>Company_169</t>
  </si>
  <si>
    <t>Company_170</t>
  </si>
  <si>
    <t>Ridgefield, CT</t>
  </si>
  <si>
    <t>10 days ago</t>
  </si>
  <si>
    <t>Ingelheim am Rhein, RP, DE</t>
  </si>
  <si>
    <t>['pytorch', 'git', 'scikit-learn', 'python', 'docker', 'kubernetes', 'machine learning', 'tensorflow']</t>
  </si>
  <si>
    <t>Company_171</t>
  </si>
  <si>
    <t>Armonk, NY, US</t>
  </si>
  <si>
    <t>['pandas', 'pytorch', 'r', 'python', 'java', 'database', 'keras', 'machine learning', 'matplotlib', 'tensorflow']</t>
  </si>
  <si>
    <t>Company_173</t>
  </si>
  <si>
    <t>San Mateo, CA . On-site</t>
  </si>
  <si>
    <t>Burlingame, CA, US</t>
  </si>
  <si>
    <t>Company_176</t>
  </si>
  <si>
    <t>Company_177</t>
  </si>
  <si>
    <t>Omaha, NE . Newport Beach, CA . Massachusetts, United States</t>
  </si>
  <si>
    <t>Newport Beach, CA, US</t>
  </si>
  <si>
    <t>['scikit-learn', 'python', 'sql', 'machine learning', 'tensorflow']</t>
  </si>
  <si>
    <t>Company_178</t>
  </si>
  <si>
    <t>Torrance, CA</t>
  </si>
  <si>
    <t>Torrance, CA, US</t>
  </si>
  <si>
    <t>['spark', 'r', 'python', 'hadoop', 'machine learning']</t>
  </si>
  <si>
    <t>Company_179</t>
  </si>
  <si>
    <t>Los Angeles, CA . United States . San Francisco, CA . Hybrid</t>
  </si>
  <si>
    <t>Collingwood, VIC, AU</t>
  </si>
  <si>
    <t>['amazon']</t>
  </si>
  <si>
    <t>Company_181</t>
  </si>
  <si>
    <t>['tableau', 'sql', 'r', 'python']</t>
  </si>
  <si>
    <t>Company_182</t>
  </si>
  <si>
    <t>Navi Mumbai, Maharashtra, India . Hybrid</t>
  </si>
  <si>
    <t>['pandas', 'numpy', 'pytorch', 'scikit-learn', 'python', 'docker', 'scipy', 'sql', 'machine learning', 'deep learning', 'matplotlib', 'tensorflow']</t>
  </si>
  <si>
    <t>Company_183</t>
  </si>
  <si>
    <t>Tallinn, Harjumaa, Estonia . Hybrid</t>
  </si>
  <si>
    <t>Tallinn, EE</t>
  </si>
  <si>
    <t>['pandas', 'numpy', 'spark', 'aws', 'scikit-learn', 'python', 'docker', 'airflow', 'sql', 'machine learning', 'deep learning']</t>
  </si>
  <si>
    <t>Company_184</t>
  </si>
  <si>
    <t>Company_185</t>
  </si>
  <si>
    <t>Fairfax, VA</t>
  </si>
  <si>
    <t>['pytorch', 'git', 'python', 'machine learning', 'keras', 'deep learning', 'tensorflow']</t>
  </si>
  <si>
    <t>Company_186</t>
  </si>
  <si>
    <t>['database', 'sql', 'aws', 'python']</t>
  </si>
  <si>
    <t>Company_192</t>
  </si>
  <si>
    <t>NY, US</t>
  </si>
  <si>
    <t>['amazon', 'spark', 'python', 'airflow', 'machine learning']</t>
  </si>
  <si>
    <t>Company_193</t>
  </si>
  <si>
    <t>Phoenix, AZ</t>
  </si>
  <si>
    <t>['powerbi', 'aws', 'r', 'python', 'sql', 'machine learning']</t>
  </si>
  <si>
    <t>Company_196</t>
  </si>
  <si>
    <t>7 months ago</t>
  </si>
  <si>
    <t>Company_197</t>
  </si>
  <si>
    <t>Bengaluru, Karnataka, India . On-site</t>
  </si>
  <si>
    <t>22 days ago</t>
  </si>
  <si>
    <t>Palo Alto, CA, US</t>
  </si>
  <si>
    <t>Company_199</t>
  </si>
  <si>
    <t>Austin, TX . Hybrid</t>
  </si>
  <si>
    <t>['java', 'sql', 'python']</t>
  </si>
  <si>
    <t>Company_203</t>
  </si>
  <si>
    <t>Cincinnati, OH . Chicago, IL . Hybrid</t>
  </si>
  <si>
    <t>Cincinnati, OH, US</t>
  </si>
  <si>
    <t>Company_207</t>
  </si>
  <si>
    <t>Manassas, VA</t>
  </si>
  <si>
    <t>Boise, ID, US</t>
  </si>
  <si>
    <t>['aws', 'python', 'linux', 'sql', 'gcp', 'hadoop']</t>
  </si>
  <si>
    <t>Company_209</t>
  </si>
  <si>
    <t>['spark', 'aws', 'python', 'sql', 'gcp', 'deep learning', 'tensorflow', 'tableau']</t>
  </si>
  <si>
    <t>Data Analyst</t>
  </si>
  <si>
    <t>Company_211</t>
  </si>
  <si>
    <t>Eindhoven, North Brabant, Netherlands</t>
  </si>
  <si>
    <t>Amsterdam, NH, NL</t>
  </si>
  <si>
    <t>Company_212</t>
  </si>
  <si>
    <t>Cincinnati, OH</t>
  </si>
  <si>
    <t>['azure', 'aws', 'machine learning', 'python']</t>
  </si>
  <si>
    <t>Company_215</t>
  </si>
  <si>
    <t>San Francisco, CA . Seattle, WA . New York, NY . On-site</t>
  </si>
  <si>
    <t>Company_221</t>
  </si>
  <si>
    <t>['spark', 'r', 'python', 'java', 'sql', 'machine learning']</t>
  </si>
  <si>
    <t>Company_223</t>
  </si>
  <si>
    <t>Raleigh-Durham-Chapel Hill Area</t>
  </si>
  <si>
    <t>['spark', 'aws', 'r', 'python', 'machine learning', 'hadoop', 'deep learning']</t>
  </si>
  <si>
    <t>Company_225</t>
  </si>
  <si>
    <t>Company_226</t>
  </si>
  <si>
    <t>Rochester, New York Metropolitan Area</t>
  </si>
  <si>
    <t>Rochester, NY, US</t>
  </si>
  <si>
    <t>Company_227</t>
  </si>
  <si>
    <t>['pytorch', 'aws', 'r', 'python', 'docker', 'scikit-learn', 'sql', 'machine learning', 'gcp', 'deep learning', 'azure', 'tensorflow']</t>
  </si>
  <si>
    <t>Greater SÃ£o Paulo Area . Hybrid</t>
  </si>
  <si>
    <t>Company_230</t>
  </si>
  <si>
    <t>Mettawa, IL</t>
  </si>
  <si>
    <t>North Chicago, IL, US</t>
  </si>
  <si>
    <t>Company_231</t>
  </si>
  <si>
    <t>South San Francisco, CA . On-site</t>
  </si>
  <si>
    <t>Kenilworth, NJ, US</t>
  </si>
  <si>
    <t>Company_233</t>
  </si>
  <si>
    <t>Reston, VA, US</t>
  </si>
  <si>
    <t>Company_235</t>
  </si>
  <si>
    <t>San Antonio, TX</t>
  </si>
  <si>
    <t>San Antonio, TX, US</t>
  </si>
  <si>
    <t>['spark', 'r', 'python', 'sql', 'machine learning', 'hadoop', 'deep learning']</t>
  </si>
  <si>
    <t>Company_236</t>
  </si>
  <si>
    <t>Miami, FL, US</t>
  </si>
  <si>
    <t>Mississauga, Ontario, Canada</t>
  </si>
  <si>
    <t>['gcp', 'git', 'r']</t>
  </si>
  <si>
    <t>Company_241</t>
  </si>
  <si>
    <t>London, GB</t>
  </si>
  <si>
    <t>['pytorch', 'aws', 'scikit-learn', 'scipy', 'machine learning', 'gcp', 'azure', 'tensorflow']</t>
  </si>
  <si>
    <t>Company_243</t>
  </si>
  <si>
    <t>Bowie, MD . On-site</t>
  </si>
  <si>
    <t>Bowie, MD, US</t>
  </si>
  <si>
    <t>Company_244</t>
  </si>
  <si>
    <t>Plano, TX . On-site</t>
  </si>
  <si>
    <t>['pytorch', 'machine learning', 'tensorflow', 'python']</t>
  </si>
  <si>
    <t>Company_246</t>
  </si>
  <si>
    <t>['spark', 'python', 'docker', 'java', 'sql', 'machine learning', 'kubernetes', 'hadoop', 'deep learning']</t>
  </si>
  <si>
    <t>Company_250</t>
  </si>
  <si>
    <t>Paris, FR</t>
  </si>
  <si>
    <t>['powerbi', 'r', 'python', 'scikit-learn', 'sql', 'machine learning', 'tensorflow', 'tableau']</t>
  </si>
  <si>
    <t>Company_252</t>
  </si>
  <si>
    <t>San Francisco, CA . Hybrid</t>
  </si>
  <si>
    <t>Company_254</t>
  </si>
  <si>
    <t>Chicago, IL</t>
  </si>
  <si>
    <t>South Bend, IN, US</t>
  </si>
  <si>
    <t>['powerbi', 'r', 'python', 'sql', 'database', 'hadoop', 'tableau']</t>
  </si>
  <si>
    <t>Company_255</t>
  </si>
  <si>
    <t>Fort Mill, SC, US</t>
  </si>
  <si>
    <t>Company_256</t>
  </si>
  <si>
    <t>San Francisco, CA . On-site</t>
  </si>
  <si>
    <t>Company_257</t>
  </si>
  <si>
    <t>['pytorch', 'spark', 'r', 'python', 'scikit-learn', 'machine learning', 'deep learning', 'tensorflow']</t>
  </si>
  <si>
    <t>Vancouver, British Columbia, Canada . Hybrid</t>
  </si>
  <si>
    <t>Company_261</t>
  </si>
  <si>
    <t>Alameda, CA</t>
  </si>
  <si>
    <t>Lake Bluff, IL, US</t>
  </si>
  <si>
    <t>['spark', 'r', 'python', 'scala', 'linux', 'java', 'hadoop', 'machine learning']</t>
  </si>
  <si>
    <t>Berlin, Berlin, Germany</t>
  </si>
  <si>
    <t>['pandas', 'numpy', 'spark', 'aws', 'scikit-learn', 'python', 'airflow', 'machine learning']</t>
  </si>
  <si>
    <t>Company_268</t>
  </si>
  <si>
    <t>Singapore, Singapore</t>
  </si>
  <si>
    <t>Singapore, SG</t>
  </si>
  <si>
    <t>['pytorch', 'git', 'python', 'machine learning', 'tensorflow']</t>
  </si>
  <si>
    <t>Company_269</t>
  </si>
  <si>
    <t>Boston, MA . Newark, DE . Tampa, FL . Kennesaw, GA . Plano, TX + 8 More</t>
  </si>
  <si>
    <t>['python', 'java', 'sql', 'hadoop', 'machine learning']</t>
  </si>
  <si>
    <t>Company_270</t>
  </si>
  <si>
    <t>Woonsocket, RI, US</t>
  </si>
  <si>
    <t>['sql', 'python']</t>
  </si>
  <si>
    <t>San Diego, CA . On-site</t>
  </si>
  <si>
    <t>['aws', 'git', 'r', 'python', 'java', 'machine learning', 'database', 'azure', 'matplotlib']</t>
  </si>
  <si>
    <t>Company_273</t>
  </si>
  <si>
    <t>Redmond, WA</t>
  </si>
  <si>
    <t>Company_276</t>
  </si>
  <si>
    <t>Company_279</t>
  </si>
  <si>
    <t>San Francisco, California . On-site</t>
  </si>
  <si>
    <t>Company_280</t>
  </si>
  <si>
    <t>Annapolis Junction, MD . Annapolis, MD . Fully Remote</t>
  </si>
  <si>
    <t>Annapolis, MD, US</t>
  </si>
  <si>
    <t>['linux', 'machine learning', 'python']</t>
  </si>
  <si>
    <t>Company_282</t>
  </si>
  <si>
    <t>Rosemont, IL</t>
  </si>
  <si>
    <t>Rosemont, IL, US</t>
  </si>
  <si>
    <t>['git', 'r', 'python', 'bash', 'sql', 'machine learning', 'deep learning']</t>
  </si>
  <si>
    <t>['pandas', 'numpy', 'scikit-learn', 'python', 'sql', 'hadoop']</t>
  </si>
  <si>
    <t>Hyderabad, Telangana, India</t>
  </si>
  <si>
    <t>['pytorch', 'r', 'python', 'sql', 'machine learning', 'deep learning', 'tensorflow', 'tableau']</t>
  </si>
  <si>
    <t>Company_288</t>
  </si>
  <si>
    <t>Chantilly, VA . On-site</t>
  </si>
  <si>
    <t>['aws', 'azure']</t>
  </si>
  <si>
    <t>Company_290</t>
  </si>
  <si>
    <t>['powerbi', 'aws', 'python', 'sql', 'machine learning', 'tableau']</t>
  </si>
  <si>
    <t>Company_291</t>
  </si>
  <si>
    <t>['aws', 'r', 'python', 'sql', 'neural network', 'gcp', 'azure']</t>
  </si>
  <si>
    <t>Company_293</t>
  </si>
  <si>
    <t>['spark', 'python', 'sql', 'machine learning', 'deep learning', 'tensorflow']</t>
  </si>
  <si>
    <t>Company_295</t>
  </si>
  <si>
    <t>Montreal, Quebec, Canada . Hybrid</t>
  </si>
  <si>
    <t>Dartmouth, NS, CA</t>
  </si>
  <si>
    <t>['pandas', 'numpy', 'pytorch', 'aws', 'scikit-learn', 'python', 'sql', 'machine learning']</t>
  </si>
  <si>
    <t>Company_296</t>
  </si>
  <si>
    <t>Lebanon, NH . Hybrid</t>
  </si>
  <si>
    <t>Bridgewater, NJ, US</t>
  </si>
  <si>
    <t>Company_298</t>
  </si>
  <si>
    <t>Draper, UT, US</t>
  </si>
  <si>
    <t>['sql', 'azure', 'r', 'python']</t>
  </si>
  <si>
    <t>Company_303</t>
  </si>
  <si>
    <t>Irving, TX, US</t>
  </si>
  <si>
    <t>['aws', 'git', 'python', 'sql', 'gcp', 'machine learning']</t>
  </si>
  <si>
    <t>Annapolis Junction, MD</t>
  </si>
  <si>
    <t>Company_305</t>
  </si>
  <si>
    <t>Budapest, Budapest, Hungary</t>
  </si>
  <si>
    <t>Company_306</t>
  </si>
  <si>
    <t>Fort Meade, MD . Fort Meade, Maryland, BirleÅŸik Devletler . Fully Remote</t>
  </si>
  <si>
    <t>Fulton, MD, US</t>
  </si>
  <si>
    <t>Company_308</t>
  </si>
  <si>
    <t>Mountain View, CA</t>
  </si>
  <si>
    <t>Redmond, WA, US</t>
  </si>
  <si>
    <t>Company_309</t>
  </si>
  <si>
    <t>['pytorch', 'aws', 'git', 'python', 'docker', 'gcp', 'azure', 'tensorflow']</t>
  </si>
  <si>
    <t>Company_310</t>
  </si>
  <si>
    <t>Antwerp Metropolitan Area</t>
  </si>
  <si>
    <t>Arlington, VA, US</t>
  </si>
  <si>
    <t>['powerbi', 'tableau']</t>
  </si>
  <si>
    <t>Company_312</t>
  </si>
  <si>
    <t>Montreal, QC, CA</t>
  </si>
  <si>
    <t>Company_315</t>
  </si>
  <si>
    <t>Austin, TX, US</t>
  </si>
  <si>
    <t>['pytorch', 'aws', 'r', 'python', 'docker', 'machine learning', 'kubernetes', 'deep learning', 'tensorflow']</t>
  </si>
  <si>
    <t>Company_316</t>
  </si>
  <si>
    <t>Dublin, County Dublin, Ireland</t>
  </si>
  <si>
    <t>Eden Prairie, MN, US</t>
  </si>
  <si>
    <t>['sql', 'azure', 'python']</t>
  </si>
  <si>
    <t>Company_251</t>
  </si>
  <si>
    <t>Alpharetta, GA</t>
  </si>
  <si>
    <t>Roseland, NJ, US</t>
  </si>
  <si>
    <t>['spark', 'aws', 'r', 'python', 'scala', 'java', 'sql', 'machine learning', 'hadoop', 'azure', 'tensorflow', 'tableau']</t>
  </si>
  <si>
    <t>Company_318</t>
  </si>
  <si>
    <t>Dallas, TX, US</t>
  </si>
  <si>
    <t>San Jose, CA . Hybrid</t>
  </si>
  <si>
    <t>['pandas', 'numpy', 'pytorch', 'spark', 'aws', 'scikit-learn', 'python', 'java', 'sql', 'machine learning', 'tensorflow']</t>
  </si>
  <si>
    <t>Company_324</t>
  </si>
  <si>
    <t>United States . On-site</t>
  </si>
  <si>
    <t>Company_326</t>
  </si>
  <si>
    <t>2 years ago</t>
  </si>
  <si>
    <t>Mumbai, MH, IN</t>
  </si>
  <si>
    <t>Company_328</t>
  </si>
  <si>
    <t>Riverwoods, IL</t>
  </si>
  <si>
    <t>Riverwoods, IL, US</t>
  </si>
  <si>
    <t>['sql', 'tableau']</t>
  </si>
  <si>
    <t>Company_336</t>
  </si>
  <si>
    <t>South San Francisco, CA</t>
  </si>
  <si>
    <t>South San Francisco, CA, US</t>
  </si>
  <si>
    <t>Company_337</t>
  </si>
  <si>
    <t>Tallahassee, FL . Arlington, VA . Fully Remote</t>
  </si>
  <si>
    <t>Fairfax, VA, US</t>
  </si>
  <si>
    <t>['r', 'python', 'sql', 'machine learning', 'database', 'deep learning']</t>
  </si>
  <si>
    <t>Company_339</t>
  </si>
  <si>
    <t>Company_340</t>
  </si>
  <si>
    <t>Company_341</t>
  </si>
  <si>
    <t>Company_343</t>
  </si>
  <si>
    <t>Edinburgh, Scotland, United Kingdom</t>
  </si>
  <si>
    <t>Edinburgh, GB</t>
  </si>
  <si>
    <t>Company_201</t>
  </si>
  <si>
    <t>Milwaukee, WI</t>
  </si>
  <si>
    <t>Deerfield, IL, US</t>
  </si>
  <si>
    <t>['spark', 'python', 'scala', 'machine learning', 'database', 'azure', 'tableau']</t>
  </si>
  <si>
    <t>Company_352</t>
  </si>
  <si>
    <t>Pune, Maharashtra, India . On-site</t>
  </si>
  <si>
    <t>Evanston, IL, US</t>
  </si>
  <si>
    <t>['amazon', 'r', 'python', 'java', 'database', 'hadoop', 'machine learning']</t>
  </si>
  <si>
    <t>Company_353</t>
  </si>
  <si>
    <t>Washington, US</t>
  </si>
  <si>
    <t>Company_355</t>
  </si>
  <si>
    <t>Johns Creek, GA</t>
  </si>
  <si>
    <t>Company_357</t>
  </si>
  <si>
    <t>Basking Ridge, NJ . Irving, TX . Temple Terrace, FL . Boston, MA . Ashburn, VA + 1 More . Hybrid</t>
  </si>
  <si>
    <t>Basking Ridge, NJ, US</t>
  </si>
  <si>
    <t>['python', 'sql', 'machine learning', 'database', 'hadoop', 'deep learning']</t>
  </si>
  <si>
    <t>Company_360</t>
  </si>
  <si>
    <t>Itanagar, Arunachal Pradesh, India</t>
  </si>
  <si>
    <t>['pandas', 'numpy', 'pytorch', 'spark', 'aws', 'git', 'scikit-learn', 'python', 'docker', 'scipy', 'hadoop', 'machine learning', 'database', 'keras', 'deep learning', 'matplotlib', 'tensorflow']</t>
  </si>
  <si>
    <t>Company_362</t>
  </si>
  <si>
    <t>16 days ago</t>
  </si>
  <si>
    <t>New Brunswick, NJ</t>
  </si>
  <si>
    <t>['aws', 'powerbi', 'r', 'python', 'airflow', 'machine learning', 'azure', 'tableau']</t>
  </si>
  <si>
    <t>Company_363</t>
  </si>
  <si>
    <t>Bellevue, WA</t>
  </si>
  <si>
    <t>23 days ago</t>
  </si>
  <si>
    <t>['pytorch', 'scikit-learn', 'python', 'scala', 'java', 'machine learning', 'tensorflow']</t>
  </si>
  <si>
    <t>Company_365</t>
  </si>
  <si>
    <t>McLean, VA</t>
  </si>
  <si>
    <t>Annapolis Junction, MD, US</t>
  </si>
  <si>
    <t>['database', 'machine learning', 'python']</t>
  </si>
  <si>
    <t>Company_366</t>
  </si>
  <si>
    <t>Columbia, MD</t>
  </si>
  <si>
    <t>Columbia, MD, US</t>
  </si>
  <si>
    <t>['pytorch', 'spark', 'aws', 'r', 'python', 'scikit-learn', 'scala', 'sql', 'machine learning', 'gcp', 'azure', 'tensorflow']</t>
  </si>
  <si>
    <t>Company_367</t>
  </si>
  <si>
    <t>Utah, United States</t>
  </si>
  <si>
    <t>['aws', 'gcp', 'azure']</t>
  </si>
  <si>
    <t>Company_371</t>
  </si>
  <si>
    <t>South San Francisco, CA . South San Francisco, Kalifornia, Stany Zjednoczone</t>
  </si>
  <si>
    <t>Kitchener-Waterloo, ON . Toronto, ON . Hybrid</t>
  </si>
  <si>
    <t>a year ago</t>
  </si>
  <si>
    <t>Company_382</t>
  </si>
  <si>
    <t>Greater Chicago Area . Hybrid</t>
  </si>
  <si>
    <t>['aws', 'python', 'sql', 'machine learning', 'deep learning']</t>
  </si>
  <si>
    <t>Company_383</t>
  </si>
  <si>
    <t>Barcelona, Spain . On-site</t>
  </si>
  <si>
    <t>Milano, IT</t>
  </si>
  <si>
    <t>['r', 'python', 'sql', 'hadoop', 'machine learning']</t>
  </si>
  <si>
    <t>Company_384</t>
  </si>
  <si>
    <t>Normal, IL . Plymouth, MI . Palo Alto, CA . Irvine, CA . Atlanta, GA</t>
  </si>
  <si>
    <t>Irvine, CA, US</t>
  </si>
  <si>
    <t>Company_387</t>
  </si>
  <si>
    <t>Sunnyvale, CA . Hybrid</t>
  </si>
  <si>
    <t>Company_389</t>
  </si>
  <si>
    <t>Bozeman, MT, US</t>
  </si>
  <si>
    <t>Company_391</t>
  </si>
  <si>
    <t>Greenbelt, MD, US</t>
  </si>
  <si>
    <t>Company_392</t>
  </si>
  <si>
    <t>Jacksonville, FL, US</t>
  </si>
  <si>
    <t>['spark', 'aws', 'python', 'sql', 'machine learning', 'gcp', 'azure']</t>
  </si>
  <si>
    <t>Company_395</t>
  </si>
  <si>
    <t>McLean, VA, US</t>
  </si>
  <si>
    <t>['spark', 'aws', 'r', 'python', 'scala', 'sql', 'database', 'machine learning']</t>
  </si>
  <si>
    <t>Company_403</t>
  </si>
  <si>
    <t>Boston, MA . Hybrid</t>
  </si>
  <si>
    <t>Company_404</t>
  </si>
  <si>
    <t>Northbrook, IL, US</t>
  </si>
  <si>
    <t>['aws', 'r', 'python', 'linux', 'sql', 'machine learning', 'deep learning', 'azure']</t>
  </si>
  <si>
    <t>['deep learning', 'machine learning', 'r', 'python']</t>
  </si>
  <si>
    <t>Company_410</t>
  </si>
  <si>
    <t>4 months ago</t>
  </si>
  <si>
    <t>Company_411</t>
  </si>
  <si>
    <t>Santa Monica, CA, US</t>
  </si>
  <si>
    <t>['spark', 'aws', 'python', 'airflow', 'sql', 'gcp', 'machine learning']</t>
  </si>
  <si>
    <t>Company_412</t>
  </si>
  <si>
    <t>Minneapolis, MN, US</t>
  </si>
  <si>
    <t>['pandas', 'aws', 'scikit-learn', 'python', 'sql', 'machine learning', 'gcp', 'azure', 'matplotlib']</t>
  </si>
  <si>
    <t>Company_414</t>
  </si>
  <si>
    <t>London, England, United Kingdom . Hybrid</t>
  </si>
  <si>
    <t>Newton, MA, US</t>
  </si>
  <si>
    <t>['sql', 'aws', 'r', 'python']</t>
  </si>
  <si>
    <t>Company_417</t>
  </si>
  <si>
    <t>['pandas', 'numpy', 'pytorch', 'aws', 'r', 'python', 'scikit-learn', 'scipy', 'sql', 'machine learning', 'deep learning', 'keras', 'azure', 'matplotlib', 'tensorflow', 'tableau']</t>
  </si>
  <si>
    <t>Company_418</t>
  </si>
  <si>
    <t>Washington, United States . Idaho, United States . Arizona, United States . Georgia, United States . South Carolina, United States + 1 More . Fully Remote</t>
  </si>
  <si>
    <t>Company_421</t>
  </si>
  <si>
    <t>Mexico City Metropolitan Area . Fully Remote</t>
  </si>
  <si>
    <t>Cheyenne, WY, US</t>
  </si>
  <si>
    <t>Company_422</t>
  </si>
  <si>
    <t>Englewood, CO</t>
  </si>
  <si>
    <t>Englewood, CO, US</t>
  </si>
  <si>
    <t>Company_423</t>
  </si>
  <si>
    <t>Company_425</t>
  </si>
  <si>
    <t>Madrid, Community of Madrid, Spain</t>
  </si>
  <si>
    <t>['spark', 'aws', 'powerbi', 'r', 'python', 'docker', 'linux', 'sql', 'azure', 'tableau']</t>
  </si>
  <si>
    <t>Company_426</t>
  </si>
  <si>
    <t>Palo Alto, CA . Hybrid</t>
  </si>
  <si>
    <t>Company_428</t>
  </si>
  <si>
    <t>Company_433</t>
  </si>
  <si>
    <t>Company_435</t>
  </si>
  <si>
    <t>Company_438</t>
  </si>
  <si>
    <t>New York City, New York, United States . On-site</t>
  </si>
  <si>
    <t>Company_440</t>
  </si>
  <si>
    <t>Lexington, MA . Massachusetts, United States</t>
  </si>
  <si>
    <t>['aws', 'scikit-learn', 'python', 'sql', 'machine learning', 'deep learning', 'tensorflow']</t>
  </si>
  <si>
    <t>Company_449</t>
  </si>
  <si>
    <t>New York, United States</t>
  </si>
  <si>
    <t>Company_450</t>
  </si>
  <si>
    <t>Fort George G Meade, Maryland, United States . On-site</t>
  </si>
  <si>
    <t>Catonsville, MD, US</t>
  </si>
  <si>
    <t>SÃ£o Paulo, SÃ£o Paulo, Brazil . Fully Remote</t>
  </si>
  <si>
    <t>Company_456</t>
  </si>
  <si>
    <t>Sacramento, CA</t>
  </si>
  <si>
    <t>Sacramento, CA, US</t>
  </si>
  <si>
    <t>Company_457</t>
  </si>
  <si>
    <t>New York, United States . Minneapolis, MN . Chicago, IL</t>
  </si>
  <si>
    <t>['git', 'r', 'python', 'docker', 'sql', 'machine learning']</t>
  </si>
  <si>
    <t>Company_460</t>
  </si>
  <si>
    <t>Dania Beach, FL, US</t>
  </si>
  <si>
    <t>Bengaluru, Karnataka, India . Bengaluru East, Karnataka, India</t>
  </si>
  <si>
    <t>['pytorch', 'python', 'docker', 'machine learning', 'kubernetes', 'deep learning', 'tensorflow']</t>
  </si>
  <si>
    <t>Company_461</t>
  </si>
  <si>
    <t>['aws', 'machine learning', 'gcp', 'azure', 'deep learning']</t>
  </si>
  <si>
    <t>Company_465</t>
  </si>
  <si>
    <t>Washington, DC . On-site</t>
  </si>
  <si>
    <t>['deep learning', 'aws', 'machine learning', 'python']</t>
  </si>
  <si>
    <t>Company_025</t>
  </si>
  <si>
    <t>Jersey City, NJ</t>
  </si>
  <si>
    <t>Teaneck, NJ, US</t>
  </si>
  <si>
    <t>Company_468</t>
  </si>
  <si>
    <t>Los Alamos, NM</t>
  </si>
  <si>
    <t>Los Alamos, NM, US</t>
  </si>
  <si>
    <t>['git', 'r', 'python', 'sql', 'machine learning', 'database', 'deep learning']</t>
  </si>
  <si>
    <t>Company_470</t>
  </si>
  <si>
    <t>Austin, TX</t>
  </si>
  <si>
    <t>['linux', 'python']</t>
  </si>
  <si>
    <t>Company_474</t>
  </si>
  <si>
    <t>Irvine, CA</t>
  </si>
  <si>
    <t>US</t>
  </si>
  <si>
    <t>['amazon', 'pytorch', 'aws', 'python', 'java', 'machine learning', 'deep learning', 'keras', 'azure', 'tensorflow']</t>
  </si>
  <si>
    <t>Company_475</t>
  </si>
  <si>
    <t>Brisbane, CA</t>
  </si>
  <si>
    <t>['pandas', 'numpy', 'git', 'r', 'python', 'scikit-learn', 'machine learning', 'matplotlib']</t>
  </si>
  <si>
    <t>Company_477</t>
  </si>
  <si>
    <t>Mountain View, California, United States . On-site</t>
  </si>
  <si>
    <t>Company_142</t>
  </si>
  <si>
    <t>New York, NY . Boston, MA . Los Angeles, CA</t>
  </si>
  <si>
    <t>['pytorch', 'machine learning']</t>
  </si>
  <si>
    <t>Company_480</t>
  </si>
  <si>
    <t>Kansas City, KS . Hybrid</t>
  </si>
  <si>
    <t>Kansas City, KS, US</t>
  </si>
  <si>
    <t>['pytorch', 'r', 'python', 'machine learning', 'deep learning', 'tensorflow']</t>
  </si>
  <si>
    <t>Company_482</t>
  </si>
  <si>
    <t>Boston, MA . United States</t>
  </si>
  <si>
    <t>Company_484</t>
  </si>
  <si>
    <t>['sql', 'machine learning', 'tableau']</t>
  </si>
  <si>
    <t>Company_485</t>
  </si>
  <si>
    <t>['pytorch', 'scikit-learn', 'python', 'java', 'machine learning', 'tensorflow']</t>
  </si>
  <si>
    <t>Company_486</t>
  </si>
  <si>
    <t>['pytorch', 'aws', 'python', 'docker', 'gcp', 'kubernetes', 'azure']</t>
  </si>
  <si>
    <t>Company_313</t>
  </si>
  <si>
    <t>Company_488</t>
  </si>
  <si>
    <t>Boston, MA . à¸šà¸­à¸ªà¸•à¸±à¸™, à¸£à¸±à¸à¹à¸¡à¸ªà¸‹à¸²à¸Šà¸¹à¹€à¸‹à¸•à¸ªà¹Œ, à¸ªà¸«à¸£à¸±à¸</t>
  </si>
  <si>
    <t>Company_490</t>
  </si>
  <si>
    <t>Overland Park, KS . Frisco, TX . Bellevue, WA . Hybrid</t>
  </si>
  <si>
    <t>Bellevue, WA, US</t>
  </si>
  <si>
    <t>['spark', 'git', 'python', 'sql', 'hadoop']</t>
  </si>
  <si>
    <t>Company_499</t>
  </si>
  <si>
    <t>Lake Mary, FL . Hybrid</t>
  </si>
  <si>
    <t>['sql', 'kubernetes', 'machine learning', 'python']</t>
  </si>
  <si>
    <t>Company_500</t>
  </si>
  <si>
    <t>Vilniaus, Lithuania . Nzalae/ Nzawa locations, Kitui County, Kenya . Hybrid</t>
  </si>
  <si>
    <t>['aws', 'database', 'sql', 'machine learning', 'gcp', 'kubernetes', 'deep learning', 'azure']</t>
  </si>
  <si>
    <t>Company_503</t>
  </si>
  <si>
    <t>Brazil, Sao Paulo . On-site</t>
  </si>
  <si>
    <t>SÃ£o Paulo, SP, BR</t>
  </si>
  <si>
    <t>Company_513</t>
  </si>
  <si>
    <t>Washington, DC</t>
  </si>
  <si>
    <t>Vienna, VA, US</t>
  </si>
  <si>
    <t>Company_516</t>
  </si>
  <si>
    <t>Company_517</t>
  </si>
  <si>
    <t>Gaithersburg, MD, US</t>
  </si>
  <si>
    <t>Company_521</t>
  </si>
  <si>
    <t>San Francisco, CA . Chicago, IL . Seattle, WA . New York, NY</t>
  </si>
  <si>
    <t>['pandas', 'sql', 'python']</t>
  </si>
  <si>
    <t>Company_523</t>
  </si>
  <si>
    <t>['pandas', 'numpy', 'aws', 'scikit-learn', 'python', 'scipy', 'database', 'matplotlib']</t>
  </si>
  <si>
    <t>Company_524</t>
  </si>
  <si>
    <t>['amazon', 'azure', 'machine learning']</t>
  </si>
  <si>
    <t>Company_527</t>
  </si>
  <si>
    <t>Plainsboro, NJ</t>
  </si>
  <si>
    <t>BagsvÃ¦rd, DK</t>
  </si>
  <si>
    <t>['deep learning']</t>
  </si>
  <si>
    <t>Company_532</t>
  </si>
  <si>
    <t>Company_540</t>
  </si>
  <si>
    <t>Company_544</t>
  </si>
  <si>
    <t>Tempe, AZ . Hybrid</t>
  </si>
  <si>
    <t>Bloomington, IL, US</t>
  </si>
  <si>
    <t>['linux', 'aws', 'r', 'python']</t>
  </si>
  <si>
    <t>Company_545</t>
  </si>
  <si>
    <t>Indianapolis, IN</t>
  </si>
  <si>
    <t>Indianapolis, IN, US</t>
  </si>
  <si>
    <t>['tableau']</t>
  </si>
  <si>
    <t>Company_546</t>
  </si>
  <si>
    <t>Redwood City, CA . Hybrid</t>
  </si>
  <si>
    <t>['pytorch', 'spark', 'python', 'scala', 'sql', 'machine learning', 'deep learning', 'tensorflow']</t>
  </si>
  <si>
    <t>Company_549</t>
  </si>
  <si>
    <t>Santa Clara, CA . Hybrid</t>
  </si>
  <si>
    <t>Santa Clara, CA, US</t>
  </si>
  <si>
    <t>['pandas', 'numpy', 'pytorch', 'spark', 'aws', 'python', 'machine learning', 'gcp', 'deep learning', 'azure', 'matplotlib', 'tensorflow']</t>
  </si>
  <si>
    <t>Company_551</t>
  </si>
  <si>
    <t>['powerbi', 'python', 'sql', 'machine learning', 'deep learning', 'matplotlib', 'tableau']</t>
  </si>
  <si>
    <t>Company_555</t>
  </si>
  <si>
    <t>Boston, MA</t>
  </si>
  <si>
    <t>Company_558</t>
  </si>
  <si>
    <t>16 hours ago</t>
  </si>
  <si>
    <t>['r', 'python', 'machine learning', 'keras', 'deep learning', 'tensorflow']</t>
  </si>
  <si>
    <t>Raleigh, NC</t>
  </si>
  <si>
    <t>18 days ago</t>
  </si>
  <si>
    <t>Company_564</t>
  </si>
  <si>
    <t>Company_568</t>
  </si>
  <si>
    <t>Brooklyn, OH . Cleveland, OH . United States</t>
  </si>
  <si>
    <t>Cleveland, OH, US</t>
  </si>
  <si>
    <t>Company_572</t>
  </si>
  <si>
    <t>Company_574</t>
  </si>
  <si>
    <t>CA</t>
  </si>
  <si>
    <t>Company_577</t>
  </si>
  <si>
    <t>['pytorch', 'aws', 'r', 'python', 'docker', 'scikit-learn', 'machine learning', 'gcp', 'deep learning', 'azure', 'matplotlib', 'tensorflow']</t>
  </si>
  <si>
    <t>Company_579</t>
  </si>
  <si>
    <t>Philadelphia, PA</t>
  </si>
  <si>
    <t>10 months ago</t>
  </si>
  <si>
    <t>Philadelphia, PA, US</t>
  </si>
  <si>
    <t>Minneapolis, MN</t>
  </si>
  <si>
    <t>['pytorch', 'aws', 'python', 'sql', 'machine learning', 'gcp', 'azure', 'tensorflow']</t>
  </si>
  <si>
    <t>Bucharest, Bucharest, Romania . Vilnius, Vilniaus, Lithuania . Estonia . Bulgaria . Poland + 11 More . Hybrid</t>
  </si>
  <si>
    <t>Company_587</t>
  </si>
  <si>
    <t>Rockville, MD, US</t>
  </si>
  <si>
    <t>['pandas', 'numpy', 'aws', 'git', 'scikit-learn', 'python', 'sql', 'gcp', 'database', 'machine learning']</t>
  </si>
  <si>
    <t>Company_589</t>
  </si>
  <si>
    <t>Company_590</t>
  </si>
  <si>
    <t>San Francisco, California, United States . San Francisco, California, USA . Hybrid</t>
  </si>
  <si>
    <t>Pittsburgh, PA, US</t>
  </si>
  <si>
    <t>Company_591</t>
  </si>
  <si>
    <t>Chicago, IL . Ø¥Ù„ÙŠÙ†ÙˆÙŠ Ø´ÙŠÙƒØ§ØºÙˆ Ø§Ù„ÙˆÙ„Ø§ÙŠØ§Øª Ø§Ù„Ù…ØªØ­Ø¯Ø© . Hybrid</t>
  </si>
  <si>
    <t>['sql', 'machine learning', 'scikit-learn', 'python']</t>
  </si>
  <si>
    <t>Company_596</t>
  </si>
  <si>
    <t>['r', 'python', 'scala', 'sql', 'gcp']</t>
  </si>
  <si>
    <t>Company_598</t>
  </si>
  <si>
    <t>Salt Lake City Metropolitan Area</t>
  </si>
  <si>
    <t>Salt Lake City, UT, US</t>
  </si>
  <si>
    <t>Company_601</t>
  </si>
  <si>
    <t>['scikit-learn', 'python', 'sql', 'database', 'machine learning']</t>
  </si>
  <si>
    <t>Company_603</t>
  </si>
  <si>
    <t>Queenstown, Central Singapore Community Development Council, Singapore</t>
  </si>
  <si>
    <t>['tableau', 'r', 'python']</t>
  </si>
  <si>
    <t>Company_472</t>
  </si>
  <si>
    <t>Brookfield, WI . Fully Remote</t>
  </si>
  <si>
    <t>['aws', 'r', 'python', 'sql', 'machine learning']</t>
  </si>
  <si>
    <t>Company_607</t>
  </si>
  <si>
    <t>Yonkers, New York, United States . Hybrid</t>
  </si>
  <si>
    <t>17 hours ago</t>
  </si>
  <si>
    <t>Yonkers, NY, US</t>
  </si>
  <si>
    <t>Company_608</t>
  </si>
  <si>
    <t>Berlin, Berlin, Germany . Hybrid</t>
  </si>
  <si>
    <t>Berlin, DE</t>
  </si>
  <si>
    <t>['scala', 'spark', 'machine learning', 'python']</t>
  </si>
  <si>
    <t>Company_609</t>
  </si>
  <si>
    <t>Golden Valley, MN . Austin, TX . Hybrid</t>
  </si>
  <si>
    <t>['pandas', 'numpy', 'pytorch', 'spark', 'aws', 'git', 'r', 'python', 'scikit-learn', 'sql', 'machine learning', 'keras', 'azure', 'tensorflow']</t>
  </si>
  <si>
    <t>Company_610</t>
  </si>
  <si>
    <t>Chicago, IL . Hybrid</t>
  </si>
  <si>
    <t>['git', 'r', 'python', 'sql', 'machine learning', 'deep learning']</t>
  </si>
  <si>
    <t>Company_611</t>
  </si>
  <si>
    <t>Company_614</t>
  </si>
  <si>
    <t>Ukraine</t>
  </si>
  <si>
    <t>['amazon', 'pytorch', 'python', 'machine learning', 'deep learning', 'tensorflow']</t>
  </si>
  <si>
    <t>Company_615</t>
  </si>
  <si>
    <t>Company_624</t>
  </si>
  <si>
    <t>Paris, IDF, FR</t>
  </si>
  <si>
    <t>Company_625</t>
  </si>
  <si>
    <t>6 months ago</t>
  </si>
  <si>
    <t>Company_631</t>
  </si>
  <si>
    <t>Company_634</t>
  </si>
  <si>
    <t>Rockville, MD</t>
  </si>
  <si>
    <t>Brentford, GB</t>
  </si>
  <si>
    <t>['python', 'sql', 'machine learning', 'azure', 'tableau']</t>
  </si>
  <si>
    <t>Company_638</t>
  </si>
  <si>
    <t>['spark', 'aws', 'git', 'r', 'python', 'powerbi', 'scala', 'java', 'sql', 'machine learning', 'gcp', 'hadoop', 'azure', 'matplotlib', 'tableau']</t>
  </si>
  <si>
    <t>Company_640</t>
  </si>
  <si>
    <t>Coraopolis, PA, US</t>
  </si>
  <si>
    <t>['pytorch', 'spark', 'python', 'machine learning', 'deep learning', 'azure', 'tensorflow']</t>
  </si>
  <si>
    <t>Company_642</t>
  </si>
  <si>
    <t>Company_643</t>
  </si>
  <si>
    <t>Minneapolis, MN . Hybrid</t>
  </si>
  <si>
    <t>Sugar Land, TX, US</t>
  </si>
  <si>
    <t>Company_645</t>
  </si>
  <si>
    <t>Company_647</t>
  </si>
  <si>
    <t>India, Bengaluru . Fully Remote</t>
  </si>
  <si>
    <t>Company_653</t>
  </si>
  <si>
    <t>Colorado Springs, CO</t>
  </si>
  <si>
    <t>Huntsville, AL, US</t>
  </si>
  <si>
    <t>['pytorch', 'scikit-learn', 'machine learning', 'tensorflow']</t>
  </si>
  <si>
    <t>Company_654</t>
  </si>
  <si>
    <t>Company_662</t>
  </si>
  <si>
    <t>Company_665</t>
  </si>
  <si>
    <t>South San Francisco, California, United States . On-site</t>
  </si>
  <si>
    <t>Company_666</t>
  </si>
  <si>
    <t>SG</t>
  </si>
  <si>
    <t>['database']</t>
  </si>
  <si>
    <t>Company_668</t>
  </si>
  <si>
    <t>Sacramento, California, United States . Jacksonville, Florida, United States . Austin, Texas, United States . Mexico City, Mexico . Ottawa, Ontario, Canada + 17 More . On-site</t>
  </si>
  <si>
    <t>Company_670</t>
  </si>
  <si>
    <t>Annapolis Junction, Maryland, United States . On-site</t>
  </si>
  <si>
    <t>Herndon, VA, US</t>
  </si>
  <si>
    <t>Company_675</t>
  </si>
  <si>
    <t>El Segundo, CA, US</t>
  </si>
  <si>
    <t>Company_216</t>
  </si>
  <si>
    <t>United States . Hybrid</t>
  </si>
  <si>
    <t>['pytorch', 'aws', 'scikit-learn', 'python', 'sql', 'machine learning', 'deep learning', 'tensorflow']</t>
  </si>
  <si>
    <t>Company_678</t>
  </si>
  <si>
    <t>Fort Huachuca, AZ . Fort Huachuca, Arizona, United States</t>
  </si>
  <si>
    <t>Company_680</t>
  </si>
  <si>
    <t>Richmond, VA</t>
  </si>
  <si>
    <t>Plano, TX, US</t>
  </si>
  <si>
    <t>['git', 'r', 'python', 'sql', 'machine learning']</t>
  </si>
  <si>
    <t>Ashburn, VA</t>
  </si>
  <si>
    <t>['spark', 'aws', 'r', 'python', 'scala', 'java', 'sql', 'machine learning', 'hadoop', 'azure', 'tableau']</t>
  </si>
  <si>
    <t>Company_685</t>
  </si>
  <si>
    <t>['spark', 'aws', 'python', 'sql', 'machine learning']</t>
  </si>
  <si>
    <t>Company_689</t>
  </si>
  <si>
    <t>Greater Milwaukee</t>
  </si>
  <si>
    <t>Green Bay, WI, US</t>
  </si>
  <si>
    <t>['spark', 'aws', 'r', 'python', 'scala', 'sql', 'machine learning', 'gcp', 'deep learning', 'hadoop', 'azure', 'tableau']</t>
  </si>
  <si>
    <t>Company_690</t>
  </si>
  <si>
    <t>Maplewood, MN . Hybrid</t>
  </si>
  <si>
    <t>Maplewood, MN, US</t>
  </si>
  <si>
    <t>Company_694</t>
  </si>
  <si>
    <t>['amazon', 'machine learning']</t>
  </si>
  <si>
    <t>Company_697</t>
  </si>
  <si>
    <t>['pandas', 'numpy', 'aws', 'r', 'python', 'scikit-learn', 'airflow', 'sql', 'machine learning', 'gcp', 'azure', 'matplotlib', 'tableau']</t>
  </si>
  <si>
    <t>Company_702</t>
  </si>
  <si>
    <t>Dallas, TX</t>
  </si>
  <si>
    <t>Company_704</t>
  </si>
  <si>
    <t>Elsbethen, Salzburg, Austria</t>
  </si>
  <si>
    <t>Fuschl am See, AT</t>
  </si>
  <si>
    <t>['sql', 'git', 'r', 'python']</t>
  </si>
  <si>
    <t>Company_705</t>
  </si>
  <si>
    <t>Company_706</t>
  </si>
  <si>
    <t>Los Angeles, CA . Hybrid</t>
  </si>
  <si>
    <t>Los Angeles, CA, US</t>
  </si>
  <si>
    <t>Company_708</t>
  </si>
  <si>
    <t>Company_709</t>
  </si>
  <si>
    <t>Chicago, Illinois, United States . Hybrid</t>
  </si>
  <si>
    <t>Buffalo Grove, IL, US</t>
  </si>
  <si>
    <t>Company_714</t>
  </si>
  <si>
    <t>Ann Arbor, MI, US</t>
  </si>
  <si>
    <t>Company_718</t>
  </si>
  <si>
    <t>Detroit, MI</t>
  </si>
  <si>
    <t>Columbus, OH, US</t>
  </si>
  <si>
    <t>['aws', 'r', 'python', 'scikit-learn', 'sql', 'machine learning', 'database', 'deep learning', 'tensorflow']</t>
  </si>
  <si>
    <t>Company_723</t>
  </si>
  <si>
    <t>Miami, FL</t>
  </si>
  <si>
    <t>['pandas', 'spark', 'r', 'python', 'scikit-learn', 'sql', 'gcp', 'machine learning', 'tensorflow', 'tableau']</t>
  </si>
  <si>
    <t>Company_727</t>
  </si>
  <si>
    <t>New York County, NY</t>
  </si>
  <si>
    <t>Company_728</t>
  </si>
  <si>
    <t>Company_737</t>
  </si>
  <si>
    <t>['pytorch', 'aws', 'r', 'python', 'sql', 'machine learning', 'database', 'deep learning', 'tensorflow']</t>
  </si>
  <si>
    <t>Company_738</t>
  </si>
  <si>
    <t>['amazon', 'spark', 'git', 'r', 'python', 'linux', 'java', 'sql', 'machine learning', 'database', 'azure']</t>
  </si>
  <si>
    <t>Company_742</t>
  </si>
  <si>
    <t>['amazon', 'r', 'python', 'sql', 'machine learning']</t>
  </si>
  <si>
    <t>Company_744</t>
  </si>
  <si>
    <t>Lake Oswego, OR . Portland, OR . Hillsboro, OR</t>
  </si>
  <si>
    <t>Roseburg, OR, US</t>
  </si>
  <si>
    <t>['aws', 'r', 'python', 'sql', 'machine learning', 'azure']</t>
  </si>
  <si>
    <t>Company_745</t>
  </si>
  <si>
    <t>San Francisco Bay Area . On-site</t>
  </si>
  <si>
    <t>['pandas', 'numpy', 'pytorch', 'aws', 'scikit-learn', 'python', 'tensorflow']</t>
  </si>
  <si>
    <t>Company_746</t>
  </si>
  <si>
    <t>Omaha, NE, US</t>
  </si>
  <si>
    <t>Company_754</t>
  </si>
  <si>
    <t>Alameda, CA, US</t>
  </si>
  <si>
    <t>Company_757</t>
  </si>
  <si>
    <t>Company_759</t>
  </si>
  <si>
    <t>['pandas', 'pytorch', 'aws', 'r', 'python', 'linux', 'java', 'machine learning', 'gcp', 'deep learning', 'azure', 'tensorflow']</t>
  </si>
  <si>
    <t>Company_762</t>
  </si>
  <si>
    <t>Grand Rapids, MI</t>
  </si>
  <si>
    <t>Grand Rapids, MI, US</t>
  </si>
  <si>
    <t>['pandas', 'numpy', 'pytorch', 'r', 'python', 'sql', 'machine learning', 'azure', 'tensorflow']</t>
  </si>
  <si>
    <t>Company_763</t>
  </si>
  <si>
    <t>Ahmedabad, Gujarat, India . Bengaluru, Karnataka, India</t>
  </si>
  <si>
    <t>['pytorch', 'deep learning', 'machine learning', 'python']</t>
  </si>
  <si>
    <t>['kubernetes', 'machine learning', 'python']</t>
  </si>
  <si>
    <t>Company_770</t>
  </si>
  <si>
    <t>New York, New York . Hybrid</t>
  </si>
  <si>
    <t>Company_774</t>
  </si>
  <si>
    <t>Fredericksburg, VA . Richmond, VA . San Francisco, CA . Seattle, WA</t>
  </si>
  <si>
    <t>Chevy Chase, MD, US</t>
  </si>
  <si>
    <t>['powerbi', 'r', 'python', 'java', 'sql', 'machine learning', 'tableau']</t>
  </si>
  <si>
    <t>Company_780</t>
  </si>
  <si>
    <t>Los Angeles, CA</t>
  </si>
  <si>
    <t>['pandas', 'git', 'r', 'python', 'keras', 'machine learning']</t>
  </si>
  <si>
    <t>Company_781</t>
  </si>
  <si>
    <t>Charlotte, NC . Charlotte, North Carolina, United States</t>
  </si>
  <si>
    <t>Company_782</t>
  </si>
  <si>
    <t>Munich, Germany . Hybrid</t>
  </si>
  <si>
    <t>OH, US</t>
  </si>
  <si>
    <t>Company_785</t>
  </si>
  <si>
    <t>Birmingham, AL, US</t>
  </si>
  <si>
    <t>['pytorch', 'spark', 'scikit-learn', 'python', 'sql', 'machine learning', 'tensorflow']</t>
  </si>
  <si>
    <t>Company_786</t>
  </si>
  <si>
    <t>['aws', 'python', 'scala', 'java', 'gcp', 'machine learning']</t>
  </si>
  <si>
    <t>Company_793</t>
  </si>
  <si>
    <t>Company_795</t>
  </si>
  <si>
    <t>Calgary, Alberta, Canada . Canada, Moyen-Chari, Chad . Greater Calgary Metropolitan Area</t>
  </si>
  <si>
    <t>['scikit-learn', 'python']</t>
  </si>
  <si>
    <t>Company_796</t>
  </si>
  <si>
    <t>Augusta, GA</t>
  </si>
  <si>
    <t>Company_797</t>
  </si>
  <si>
    <t>['git', 'python', 'airflow', 'sql', 'machine learning', 'hadoop', 'azure']</t>
  </si>
  <si>
    <t>Company_800</t>
  </si>
  <si>
    <t>['spark', 'aws', 'git', 'python', 'docker', 'airflow', 'sql', 'machine learning', 'tableau']</t>
  </si>
  <si>
    <t>Company_804</t>
  </si>
  <si>
    <t>Houston, TX . Houston, Texas, Statele Unite Ale Americii . Houston, Texas, USA</t>
  </si>
  <si>
    <t>Bedford, MA, US</t>
  </si>
  <si>
    <t>['deep learning', 'machine learning', 'python']</t>
  </si>
  <si>
    <t>Company_807</t>
  </si>
  <si>
    <t>['r', 'python', 'java', 'sql', 'machine learning', 'database', 'deep learning', 'tableau']</t>
  </si>
  <si>
    <t>Henrietta, NY</t>
  </si>
  <si>
    <t>Company_445</t>
  </si>
  <si>
    <t>Ventura, CA, US</t>
  </si>
  <si>
    <t>Company_814</t>
  </si>
  <si>
    <t>Company_816</t>
  </si>
  <si>
    <t>['aws', 'python', 'machine learning', 'azure', 'deep learning', 'tableau']</t>
  </si>
  <si>
    <t>Company_817</t>
  </si>
  <si>
    <t>['pandas', 'aws', 'r', 'python', 'scikit-learn', 'sql', 'machine learning', 'gcp', 'azure']</t>
  </si>
  <si>
    <t>Company_819</t>
  </si>
  <si>
    <t>['pandas', 'numpy', 'pytorch', 'aws', 'r', 'python', 'scikit-learn', 'sql', 'machine learning', 'gcp', 'deep learning', 'azure', 'tensorflow', 'tableau']</t>
  </si>
  <si>
    <t>Company_825</t>
  </si>
  <si>
    <t>Remote - US . San Diego, California, United States . Fully Remote</t>
  </si>
  <si>
    <t>Company_832</t>
  </si>
  <si>
    <t>Renton, WA, US</t>
  </si>
  <si>
    <t>['r', 'python', 'scala', 'sql', 'machine learning', 'database', 'azure', 'tableau']</t>
  </si>
  <si>
    <t>Visakhapatnam Rural mandal, India</t>
  </si>
  <si>
    <t>Company_833</t>
  </si>
  <si>
    <t>Canada . Vancouver, BC, Canada . Hybrid</t>
  </si>
  <si>
    <t>['pytorch', 'spark', 'aws', 'database', 'sql', 'machine learning', 'deep learning', 'azure', 'tensorflow']</t>
  </si>
  <si>
    <t>Company_836</t>
  </si>
  <si>
    <t>Dublin, Ireland . Hybrid</t>
  </si>
  <si>
    <t>['spark', 'aws', 'python', 'sql', 'machine learning', 'deep learning', 'azure']</t>
  </si>
  <si>
    <t>Redwood City, CA (Hybrid) . Hybrid</t>
  </si>
  <si>
    <t>Company_837</t>
  </si>
  <si>
    <t>Waltham, MA</t>
  </si>
  <si>
    <t>['git', 'r', 'python', 'sql', 'azure']</t>
  </si>
  <si>
    <t>Pittsburgh, PA . Hybrid</t>
  </si>
  <si>
    <t>['pytorch', 'aws', 'python', 'machine learning', 'deep learning']</t>
  </si>
  <si>
    <t>Los Angeles County, CA</t>
  </si>
  <si>
    <t>['pandas', 'numpy', 'pytorch', 'aws', 'scikit-learn', 'python', 'scipy', 'sql', 'machine learning', 'gcp', 'azure', 'tensorflow']</t>
  </si>
  <si>
    <t>Arlington, VA . Bellevue, WA</t>
  </si>
  <si>
    <t>['amazon', 'aws', 'r', 'python', 'sql', 'machine learning', 'tableau']</t>
  </si>
  <si>
    <t>Princeton, NJ . New York, NY</t>
  </si>
  <si>
    <t>['pytorch', 'python', 'machine learning', 'keras', 'deep learning', 'tensorflow']</t>
  </si>
  <si>
    <t>Chennai, Tamil Nadu, India . Hyderabad, Telangana, India</t>
  </si>
  <si>
    <t>['hadoop', 'git', 'gcp', 'python']</t>
  </si>
  <si>
    <t>Washington, United States</t>
  </si>
  <si>
    <t>New York, NY . Chicago, IL</t>
  </si>
  <si>
    <t>Company_840</t>
  </si>
  <si>
    <t>East Coast, United States . New York, United States . Hybrid</t>
  </si>
  <si>
    <t>Altrincham, GB</t>
  </si>
  <si>
    <t>Company_844</t>
  </si>
  <si>
    <t>Company_845</t>
  </si>
  <si>
    <t>Company_846</t>
  </si>
  <si>
    <t>Greater Birmingham, Alabama Area . Hybrid</t>
  </si>
  <si>
    <t>Boulder, CO, US</t>
  </si>
  <si>
    <t>Markham, Ontario, Canada . Toronto, Ontario, Canada . Hybrid</t>
  </si>
  <si>
    <t>Springfield, VA</t>
  </si>
  <si>
    <t>['git', 'r', 'python', 'docker', 'linux', 'java', 'sql', 'database', 'deep learning']</t>
  </si>
  <si>
    <t>Bellevue, WA . San Francisco, CA . Seattle, WA . Palo Alto, CA</t>
  </si>
  <si>
    <t>Company_848</t>
  </si>
  <si>
    <t>Cambridge, MA . Hybrid</t>
  </si>
  <si>
    <t>Basel, BS, CH</t>
  </si>
  <si>
    <t>['python', 'neural network', 'sql', 'machine learning', 'deep learning']</t>
  </si>
  <si>
    <t>['database', 'sql', 'r', 'python']</t>
  </si>
  <si>
    <t>Company_851</t>
  </si>
  <si>
    <t>Bangalore, Karnataka, India . Hybrid</t>
  </si>
  <si>
    <t>Edison, NJ, US</t>
  </si>
  <si>
    <t>Veldhoven, North Brabant, Netherlands</t>
  </si>
  <si>
    <t>Company_852</t>
  </si>
  <si>
    <t>['spark', 'r', 'python', 'docker', 'scala', 'java', 'sql', 'machine learning', 'kubernetes', 'deep learning', 'tensorflow']</t>
  </si>
  <si>
    <t>Company_420</t>
  </si>
  <si>
    <t>Bangkok, Bangkok, Thailand . On-site</t>
  </si>
  <si>
    <t>['pytorch', 'spark', 'r', 'python', 'scikit-learn', 'scala', 'machine learning', 'deep learning', 'hadoop', 'azure', 'tensorflow']</t>
  </si>
  <si>
    <t>Company_859</t>
  </si>
  <si>
    <t>Cardiff, London or Remote (UK) . Fully Remote</t>
  </si>
  <si>
    <t>Louisville, KY</t>
  </si>
  <si>
    <t>['pandas', 'numpy', 'pytorch', 'git', 'r', 'python', 'scikit-learn', 'sql', 'gcp', 'machine learning', 'tensorflow', 'tableau']</t>
  </si>
  <si>
    <t>Company_861</t>
  </si>
  <si>
    <t>Oklahoma City, OK</t>
  </si>
  <si>
    <t>Oklahoma City, OK, US</t>
  </si>
  <si>
    <t>Company_864</t>
  </si>
  <si>
    <t>St Louis, MO</t>
  </si>
  <si>
    <t>Brentwood, MO, US</t>
  </si>
  <si>
    <t>['pandas', 'amazon', 'powerbi', 'git', 'r', 'python', 'scipy', 'sql', 'machine learning', 'database', 'azure', 'matplotlib', 'tableau']</t>
  </si>
  <si>
    <t>Company_667</t>
  </si>
  <si>
    <t>Mountain View, CA, US . San Francisco, CA, US . Hybrid</t>
  </si>
  <si>
    <t>Company_083</t>
  </si>
  <si>
    <t>Madrid, Community of Madrid, Spain . Hybrid</t>
  </si>
  <si>
    <t>['pandas', 'numpy', 'aws', 'r', 'python', 'scikit-learn', 'machine learning', 'gcp', 'deep learning', 'azure', 'matplotlib']</t>
  </si>
  <si>
    <t>Company_870</t>
  </si>
  <si>
    <t>Chicago, Illinois, United States . New York, New York, United States . Hybrid</t>
  </si>
  <si>
    <t>['r', 'python', 'sql', 'database', 'machine learning']</t>
  </si>
  <si>
    <t>Company_871</t>
  </si>
  <si>
    <t>['pytorch', 'aws', 'machine learning', 'azure', 'deep learning', 'tensorflow']</t>
  </si>
  <si>
    <t>Linthicum Heights, MD . On-site</t>
  </si>
  <si>
    <t>['pandas', 'numpy', 'python', 'sql', 'database', 'matplotlib', 'tableau']</t>
  </si>
  <si>
    <t>Company_152</t>
  </si>
  <si>
    <t>Company_873</t>
  </si>
  <si>
    <t>Santa Clara, CA . On-site</t>
  </si>
  <si>
    <t>Stamford, CT</t>
  </si>
  <si>
    <t>Englewood, CO . On-site</t>
  </si>
  <si>
    <t>['amazon', 'r', 'python', 'sql', 'database', 'machine learning', 'tableau']</t>
  </si>
  <si>
    <t>Company_875</t>
  </si>
  <si>
    <t>Princeton, NJ</t>
  </si>
  <si>
    <t>Princeton, NJ, US</t>
  </si>
  <si>
    <t>Company_878</t>
  </si>
  <si>
    <t>San Francisco, CA . San Jose, CA . Seattle, WA</t>
  </si>
  <si>
    <t>['spark', 'python', 'sql', 'hadoop', 'machine learning']</t>
  </si>
  <si>
    <t>Company_879</t>
  </si>
  <si>
    <t>['pandas', 'numpy', 'pytorch', 'aws', 'scikit-learn', 'python', 'docker', 'sql', 'machine learning', 'kubernetes', 'azure', 'tensorflow']</t>
  </si>
  <si>
    <t>Company_880</t>
  </si>
  <si>
    <t>['aws', 'scikit-learn', 'python', 'sql', 'machine learning', 'gcp', 'azure']</t>
  </si>
  <si>
    <t>['neural network', 'machine learning', 'r', 'python']</t>
  </si>
  <si>
    <t>Company_883</t>
  </si>
  <si>
    <t>Newport Beach, CA . ÐÑŒÑŽÐ¿Ð¾Ñ€Ñ‚-Ð‘Ð¸Ñ‡, ÐšÐ°Ð»Ð¸Ñ„Ð¾Ñ€Ð½Ð¸Ñ, Ð¡Ð¾ÐµÐ´Ð¸Ð½ÐµÐ½Ð½Ñ‹Ðµ Ð¨Ñ‚Ð°Ñ‚Ñ‹ ÐÐ¼ÐµÑ€Ð¸ÐºÐ¸</t>
  </si>
  <si>
    <t>Walldorf, BW, DE</t>
  </si>
  <si>
    <t>['pytorch', 'machine learning', 'database', 'deep learning', 'tensorflow']</t>
  </si>
  <si>
    <t>Canada . Fully Remote</t>
  </si>
  <si>
    <t>['sql', 'machine learning']</t>
  </si>
  <si>
    <t>Company_032</t>
  </si>
  <si>
    <t>San Diego, CA . Hybrid</t>
  </si>
  <si>
    <t>Minato City, JP</t>
  </si>
  <si>
    <t>['pandas', 'numpy', 'scikit-learn', 'python', 'sql', 'machine learning', 'deep learning']</t>
  </si>
  <si>
    <t>Bengaluru East, Karnataka, India</t>
  </si>
  <si>
    <t>New York, United States . Hybrid</t>
  </si>
  <si>
    <t>['pandas', 'pytorch', 'aws', 'r', 'python', 'sql', 'machine learning', 'deep learning']</t>
  </si>
  <si>
    <t>Company_885</t>
  </si>
  <si>
    <t>Bethesda, MD . Hybrid</t>
  </si>
  <si>
    <t>Company_889</t>
  </si>
  <si>
    <t>Brooklyn, NY</t>
  </si>
  <si>
    <t>['spark', 'python', 'scala', 'java', 'airflow', 'gcp', 'machine learning', 'tensorflow']</t>
  </si>
  <si>
    <t>Hillsboro, OR . Portland, OR . Lake Oswego, OR</t>
  </si>
  <si>
    <t>Company_894</t>
  </si>
  <si>
    <t>Benbrook, TX, US</t>
  </si>
  <si>
    <t>Company_895</t>
  </si>
  <si>
    <t>Centreville, VA, US</t>
  </si>
  <si>
    <t>Company_896</t>
  </si>
  <si>
    <t>['aws', 'powerbi', 'r', 'python', 'sql', 'machine learning', 'tableau']</t>
  </si>
  <si>
    <t>New York, New York, United States . On-site</t>
  </si>
  <si>
    <t>Toronto, Canada . Hybrid</t>
  </si>
  <si>
    <t>Vancouver, British Columbia, Canada . Marina del Rey, CA . Los Angeles Metropolitan Area . Kirkland, WA . Redwood City, CA</t>
  </si>
  <si>
    <t>['git', 'python', 'docker', 'sql', 'machine learning', 'kubernetes', 'deep learning']</t>
  </si>
  <si>
    <t>Company_905</t>
  </si>
  <si>
    <t>Buffalo, NY, US</t>
  </si>
  <si>
    <t>['python', 'neural network', 'sql', 'database', 'machine learning', 'tableau']</t>
  </si>
  <si>
    <t>Gurugram, Haryana, India</t>
  </si>
  <si>
    <t>['aws', 'machine learning']</t>
  </si>
  <si>
    <t>Company_909</t>
  </si>
  <si>
    <t>Milwaukee, WI, US</t>
  </si>
  <si>
    <t>['pytorch', 'spark', 'aws', 'python', 'machine learning', 'gcp', 'deep learning', 'keras', 'azure', 'tensorflow']</t>
  </si>
  <si>
    <t>Company_912</t>
  </si>
  <si>
    <t>Scottsdale, AZ, US</t>
  </si>
  <si>
    <t>['pandas', 'numpy', 'pytorch', 'spark', 'git', 'python', 'docker', 'database', 'deep learning', 'sql', 'machine learning', 'gcp', 'kubernetes', 'keras', 'azure', 'matplotlib', 'tensorflow']</t>
  </si>
  <si>
    <t>['spark', 'aws', 'r', 'python', 'scala', 'sql', 'machine learning', 'database', 'deep learning']</t>
  </si>
  <si>
    <t>Company_914</t>
  </si>
  <si>
    <t>Los Angeles Metropolitan Area . On-site</t>
  </si>
  <si>
    <t>Company_695</t>
  </si>
  <si>
    <t>Maryland, United States</t>
  </si>
  <si>
    <t>['pytorch', 'aws', 'r', 'python', 'machine learning', 'gcp', 'azure', 'tensorflow']</t>
  </si>
  <si>
    <t>Company_916</t>
  </si>
  <si>
    <t>Company_917</t>
  </si>
  <si>
    <t>['pandas', 'r', 'python', 'sql', 'database']</t>
  </si>
  <si>
    <t>['database', 'machine learning', 'java']</t>
  </si>
  <si>
    <t>Doral, FL</t>
  </si>
  <si>
    <t>['r', 'python', 'linux', 'java', 'sql', 'machine learning', 'database', 'deep learning']</t>
  </si>
  <si>
    <t>['pytorch', 'aws', 'scikit-learn', 'python', 'machine learning']</t>
  </si>
  <si>
    <t>Company_922</t>
  </si>
  <si>
    <t>Columbus, OH . Hybrid</t>
  </si>
  <si>
    <t>Hartford, CT, US</t>
  </si>
  <si>
    <t>Company_416</t>
  </si>
  <si>
    <t>Washington DC-Baltimore Area . Fully Remote</t>
  </si>
  <si>
    <t>['aws', 'python', 'machine learning', 'gcp', 'kubernetes', 'azure']</t>
  </si>
  <si>
    <t>Company_415</t>
  </si>
  <si>
    <t>United States, Denver . On-site</t>
  </si>
  <si>
    <t>Company_893</t>
  </si>
  <si>
    <t>Lexington, MA</t>
  </si>
  <si>
    <t>Heerlen, LI, NL</t>
  </si>
  <si>
    <t>['aws', 'git', 'r', 'python', 'docker']</t>
  </si>
  <si>
    <t>Charlotte, AR . Fully Remote</t>
  </si>
  <si>
    <t>Company_924</t>
  </si>
  <si>
    <t>Gainesville, FL</t>
  </si>
  <si>
    <t>Gainesville, FL, US</t>
  </si>
  <si>
    <t>['pandas', 'numpy', 'pytorch', 'r', 'python', 'scikit-learn', 'scipy', 'machine learning', 'keras', 'deep learning', 'tensorflow']</t>
  </si>
  <si>
    <t>Company_925</t>
  </si>
  <si>
    <t>San Francisco Bay Area . Hybrid</t>
  </si>
  <si>
    <t>Dublin 2, IE</t>
  </si>
  <si>
    <t>['pandas', 'spark', 'aws', 'r', 'python', 'scikit-learn', 'opencv', 'sql', 'machine learning', 'gcp', 'deep learning']</t>
  </si>
  <si>
    <t>Company_928</t>
  </si>
  <si>
    <t>Company_930</t>
  </si>
  <si>
    <t>['pytorch', 'python', 'java', 'sql', 'machine learning', 'deep learning', 'tensorflow']</t>
  </si>
  <si>
    <t>Company_932</t>
  </si>
  <si>
    <t>Palo Alto, CA . Vancouver, WA . Spring, TX</t>
  </si>
  <si>
    <t>['sql', 'powerbi', 'machine learning', 'python']</t>
  </si>
  <si>
    <t>Company_937</t>
  </si>
  <si>
    <t>Maplewood, MN</t>
  </si>
  <si>
    <t>Company_941</t>
  </si>
  <si>
    <t>Dublin, IE</t>
  </si>
  <si>
    <t>Denver, CO - Remote . Fully Remote</t>
  </si>
  <si>
    <t>Company_214</t>
  </si>
  <si>
    <t>Washington, DC . Hybrid</t>
  </si>
  <si>
    <t>MontrÃ©al, QC, CA</t>
  </si>
  <si>
    <t>['r', 'python', 'sql', 'machine learning', 'matplotlib', 'tableau']</t>
  </si>
  <si>
    <t>DATA SCIENCE JOBS</t>
  </si>
  <si>
    <t>Count of Company</t>
  </si>
  <si>
    <t>Grand Total</t>
  </si>
  <si>
    <t>Sum of Company Size</t>
  </si>
  <si>
    <t>Midlevel Total</t>
  </si>
  <si>
    <t>Data Analyst Total</t>
  </si>
  <si>
    <t>Junior Total</t>
  </si>
  <si>
    <t>Lead Total</t>
  </si>
  <si>
    <t>Senior Total</t>
  </si>
  <si>
    <t>Data Scientist Total</t>
  </si>
  <si>
    <t>Machine Learning Engineer Total</t>
  </si>
  <si>
    <t>Education Total</t>
  </si>
  <si>
    <t>Energy Total</t>
  </si>
  <si>
    <t>Finance Total</t>
  </si>
  <si>
    <t>Healthcare Total</t>
  </si>
  <si>
    <t>Logistics Total</t>
  </si>
  <si>
    <t>Manufacturing Total</t>
  </si>
  <si>
    <t>Retail Total</t>
  </si>
  <si>
    <t>Technology Total</t>
  </si>
  <si>
    <t>Values</t>
  </si>
  <si>
    <t>Total Count of Company</t>
  </si>
  <si>
    <t>Total Sum of Company Size</t>
  </si>
  <si>
    <t xml:space="preserve">Toronto, Ontario, Canada </t>
  </si>
  <si>
    <t>VLOOKUP Used</t>
  </si>
  <si>
    <t>Company Member</t>
  </si>
  <si>
    <t>HLOOKUP Used</t>
  </si>
  <si>
    <t>Headquater</t>
  </si>
  <si>
    <t>Total Members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</si>
</sst>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6"/>
      <color theme="1"/>
      <name val="Aptos Narrow"/>
      <family val="2"/>
      <scheme val="minor"/>
    </font>
    <font>
      <b/>
      <sz val="48"/>
      <color theme="1"/>
      <name val="Aptos Narrow"/>
      <family val="2"/>
      <scheme val="minor"/>
    </font>
    <font>
      <b/>
      <sz val="16"/>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theme="9"/>
      </patternFill>
    </fill>
    <fill>
      <patternFill patternType="solid">
        <fgColor rgb="FF92D050"/>
        <bgColor indexed="64"/>
      </patternFill>
    </fill>
    <fill>
      <patternFill patternType="solid">
        <fgColor rgb="FFFFFF0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style="thick">
        <color indexed="64"/>
      </right>
      <top/>
      <bottom style="thick">
        <color indexed="64"/>
      </bottom>
      <diagonal/>
    </border>
    <border>
      <left style="thick">
        <color indexed="64"/>
      </left>
      <right style="thick">
        <color indexed="64"/>
      </right>
      <top/>
      <bottom style="thick">
        <color indexed="64"/>
      </bottom>
      <diagonal/>
    </border>
    <border>
      <left style="thick">
        <color indexed="64"/>
      </left>
      <right/>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diagonal/>
    </border>
    <border>
      <left style="thick">
        <color indexed="64"/>
      </left>
      <right/>
      <top style="thick">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9">
    <xf numFmtId="0" fontId="0" fillId="0" borderId="0" xfId="0"/>
    <xf numFmtId="0" fontId="0" fillId="0" borderId="0" xfId="0" applyAlignment="1">
      <alignment horizontal="center" vertical="center"/>
    </xf>
    <xf numFmtId="0" fontId="0" fillId="0" borderId="10" xfId="0" applyBorder="1" applyAlignment="1">
      <alignment horizontal="center" vertical="center"/>
    </xf>
    <xf numFmtId="3" fontId="0" fillId="0" borderId="10" xfId="0" applyNumberFormat="1"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18" fillId="0" borderId="13" xfId="0" applyFont="1" applyBorder="1" applyAlignment="1">
      <alignment horizontal="center" vertical="center"/>
    </xf>
    <xf numFmtId="0" fontId="18" fillId="0" borderId="14" xfId="0" applyFont="1" applyBorder="1" applyAlignment="1">
      <alignment horizontal="center" vertical="center"/>
    </xf>
    <xf numFmtId="0" fontId="18" fillId="0" borderId="15" xfId="0" applyFont="1"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3" fontId="0" fillId="0" borderId="17" xfId="0" applyNumberFormat="1" applyBorder="1" applyAlignment="1">
      <alignment horizontal="center" vertical="center"/>
    </xf>
    <xf numFmtId="0" fontId="0" fillId="0" borderId="18" xfId="0" applyBorder="1" applyAlignment="1">
      <alignment horizontal="center" vertical="center"/>
    </xf>
    <xf numFmtId="0" fontId="0" fillId="0" borderId="0" xfId="0" pivotButton="1" applyAlignment="1">
      <alignment horizontal="center" vertical="center"/>
    </xf>
    <xf numFmtId="0" fontId="19" fillId="0" borderId="10" xfId="0" applyFont="1" applyBorder="1" applyAlignment="1">
      <alignment horizontal="center" vertical="center"/>
    </xf>
    <xf numFmtId="0" fontId="0" fillId="0" borderId="0" xfId="0" applyNumberFormat="1" applyAlignment="1">
      <alignment horizontal="center" vertical="center"/>
    </xf>
    <xf numFmtId="0" fontId="20" fillId="33" borderId="10" xfId="0" applyFont="1" applyFill="1" applyBorder="1" applyAlignment="1">
      <alignment horizontal="center" vertical="center"/>
    </xf>
    <xf numFmtId="0" fontId="0" fillId="0" borderId="10" xfId="0" applyFont="1" applyBorder="1" applyAlignment="1">
      <alignment horizontal="center" vertical="center"/>
    </xf>
    <xf numFmtId="3" fontId="0" fillId="0" borderId="10" xfId="0" applyNumberFormat="1" applyFont="1" applyBorder="1" applyAlignment="1">
      <alignment horizontal="center" vertical="center"/>
    </xf>
    <xf numFmtId="0" fontId="0" fillId="0" borderId="10" xfId="0" applyBorder="1" applyAlignment="1">
      <alignment horizontal="center"/>
    </xf>
    <xf numFmtId="0" fontId="0" fillId="0" borderId="0" xfId="0" applyBorder="1"/>
    <xf numFmtId="0" fontId="0" fillId="35" borderId="10" xfId="0" applyFill="1" applyBorder="1"/>
    <xf numFmtId="0" fontId="0" fillId="35" borderId="0" xfId="0" applyFont="1" applyFill="1" applyBorder="1" applyAlignment="1">
      <alignment horizontal="center" vertical="center"/>
    </xf>
    <xf numFmtId="0" fontId="16" fillId="34" borderId="10" xfId="0" applyFont="1" applyFill="1" applyBorder="1" applyAlignment="1">
      <alignment horizontal="center"/>
    </xf>
    <xf numFmtId="0" fontId="0" fillId="34" borderId="10" xfId="0" applyFont="1" applyFill="1" applyBorder="1" applyAlignment="1">
      <alignment horizontal="center" vertical="center"/>
    </xf>
    <xf numFmtId="0" fontId="0" fillId="34" borderId="10" xfId="0" applyFill="1" applyBorder="1" applyAlignment="1">
      <alignment horizontal="center"/>
    </xf>
    <xf numFmtId="0" fontId="0" fillId="19" borderId="0" xfId="0" applyFont="1" applyFill="1" applyAlignment="1">
      <alignment horizontal="center" vertical="center"/>
    </xf>
    <xf numFmtId="0" fontId="0" fillId="19" borderId="0" xfId="0" applyNumberFormat="1" applyFont="1" applyFill="1" applyAlignment="1">
      <alignment horizontal="center" vertical="center"/>
    </xf>
    <xf numFmtId="0" fontId="0" fillId="19"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05">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6" tint="0.59999389629810485"/>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vertical="center" textRotation="0" wrapText="0" indent="0" justifyLastLine="0" shrinkToFit="0" readingOrder="0"/>
      <border diagonalUp="0" diagonalDown="0">
        <left style="thick">
          <color indexed="64"/>
        </left>
        <right/>
        <top style="thick">
          <color indexed="64"/>
        </top>
        <bottom style="thick">
          <color indexed="64"/>
        </bottom>
        <vertical/>
        <horizontal/>
      </border>
    </dxf>
    <dxf>
      <numFmt numFmtId="3" formatCode="#,##0"/>
      <alignment horizontal="center" vertical="center" textRotation="0" wrapText="0" indent="0" justifyLastLine="0" shrinkToFit="0" readingOrder="0"/>
      <border diagonalUp="0" diagonalDown="0">
        <left style="thick">
          <color indexed="64"/>
        </left>
        <right style="thick">
          <color indexed="64"/>
        </right>
        <top style="thick">
          <color indexed="64"/>
        </top>
        <bottom style="thick">
          <color indexed="64"/>
        </bottom>
        <vertical/>
        <horizontal/>
      </border>
    </dxf>
    <dxf>
      <alignment horizontal="center" vertical="center" textRotation="0" wrapText="0" indent="0" justifyLastLine="0" shrinkToFit="0" readingOrder="0"/>
      <border diagonalUp="0" diagonalDown="0">
        <left style="thick">
          <color indexed="64"/>
        </left>
        <right style="thick">
          <color indexed="64"/>
        </right>
        <top style="thick">
          <color indexed="64"/>
        </top>
        <bottom style="thick">
          <color indexed="64"/>
        </bottom>
        <vertical/>
        <horizontal/>
      </border>
    </dxf>
    <dxf>
      <alignment horizontal="center" vertical="center" textRotation="0" wrapText="0" indent="0" justifyLastLine="0" shrinkToFit="0" readingOrder="0"/>
      <border diagonalUp="0" diagonalDown="0">
        <left style="thick">
          <color indexed="64"/>
        </left>
        <right style="thick">
          <color indexed="64"/>
        </right>
        <top style="thick">
          <color indexed="64"/>
        </top>
        <bottom style="thick">
          <color indexed="64"/>
        </bottom>
        <vertical/>
        <horizontal/>
      </border>
    </dxf>
    <dxf>
      <alignment horizontal="center" vertical="center" textRotation="0" wrapText="0" indent="0" justifyLastLine="0" shrinkToFit="0" readingOrder="0"/>
      <border diagonalUp="0" diagonalDown="0">
        <left style="thick">
          <color indexed="64"/>
        </left>
        <right style="thick">
          <color indexed="64"/>
        </right>
        <top style="thick">
          <color indexed="64"/>
        </top>
        <bottom style="thick">
          <color indexed="64"/>
        </bottom>
        <vertical/>
        <horizontal/>
      </border>
    </dxf>
    <dxf>
      <alignment horizontal="center" vertical="center" textRotation="0" wrapText="0" indent="0" justifyLastLine="0" shrinkToFit="0" readingOrder="0"/>
      <border diagonalUp="0" diagonalDown="0">
        <left style="thick">
          <color indexed="64"/>
        </left>
        <right style="thick">
          <color indexed="64"/>
        </right>
        <top style="thick">
          <color indexed="64"/>
        </top>
        <bottom style="thick">
          <color indexed="64"/>
        </bottom>
        <vertical/>
        <horizontal/>
      </border>
    </dxf>
    <dxf>
      <alignment horizontal="center" vertical="center" textRotation="0" wrapText="0" indent="0" justifyLastLine="0" shrinkToFit="0" readingOrder="0"/>
      <border diagonalUp="0" diagonalDown="0">
        <left style="thick">
          <color indexed="64"/>
        </left>
        <right style="thick">
          <color indexed="64"/>
        </right>
        <top style="thick">
          <color indexed="64"/>
        </top>
        <bottom style="thick">
          <color indexed="64"/>
        </bottom>
        <vertical/>
        <horizontal/>
      </border>
    </dxf>
    <dxf>
      <alignment horizontal="center" vertical="center" textRotation="0" wrapText="0" indent="0" justifyLastLine="0" shrinkToFit="0" readingOrder="0"/>
      <border diagonalUp="0" diagonalDown="0">
        <left style="thick">
          <color indexed="64"/>
        </left>
        <right style="thick">
          <color indexed="64"/>
        </right>
        <top style="thick">
          <color indexed="64"/>
        </top>
        <bottom style="thick">
          <color indexed="64"/>
        </bottom>
        <vertical/>
        <horizontal/>
      </border>
    </dxf>
    <dxf>
      <alignment horizontal="center" vertical="center" textRotation="0" wrapText="0" indent="0" justifyLastLine="0" shrinkToFit="0" readingOrder="0"/>
      <border diagonalUp="0" diagonalDown="0">
        <left style="thick">
          <color indexed="64"/>
        </left>
        <right style="thick">
          <color indexed="64"/>
        </right>
        <top style="thick">
          <color indexed="64"/>
        </top>
        <bottom style="thick">
          <color indexed="64"/>
        </bottom>
        <vertical/>
        <horizontal/>
      </border>
    </dxf>
    <dxf>
      <alignment horizontal="center" vertical="center" textRotation="0" wrapText="0" indent="0" justifyLastLine="0" shrinkToFit="0" readingOrder="0"/>
      <border diagonalUp="0" diagonalDown="0">
        <left style="thick">
          <color indexed="64"/>
        </left>
        <right style="thick">
          <color indexed="64"/>
        </right>
        <top style="thick">
          <color indexed="64"/>
        </top>
        <bottom style="thick">
          <color indexed="64"/>
        </bottom>
        <vertical/>
        <horizontal/>
      </border>
    </dxf>
    <dxf>
      <alignment horizontal="center" vertical="center" textRotation="0" wrapText="0" indent="0" justifyLastLine="0" shrinkToFit="0" readingOrder="0"/>
      <border diagonalUp="0" diagonalDown="0">
        <left/>
        <right style="thick">
          <color indexed="64"/>
        </right>
        <top style="thick">
          <color indexed="64"/>
        </top>
        <bottom style="thick">
          <color indexed="64"/>
        </bottom>
        <vertical/>
        <horizontal/>
      </border>
    </dxf>
    <dxf>
      <border outline="0">
        <top style="thick">
          <color indexed="64"/>
        </top>
      </border>
    </dxf>
    <dxf>
      <border outline="0">
        <left style="thick">
          <color indexed="64"/>
        </left>
        <right style="thick">
          <color indexed="64"/>
        </right>
        <top style="thick">
          <color indexed="64"/>
        </top>
        <bottom style="thick">
          <color indexed="64"/>
        </bottom>
      </border>
    </dxf>
    <dxf>
      <alignment horizontal="center" vertical="center" textRotation="0" wrapText="0" indent="0" justifyLastLine="0" shrinkToFit="0" readingOrder="0"/>
    </dxf>
    <dxf>
      <border outline="0">
        <bottom style="thick">
          <color indexed="64"/>
        </bottom>
      </border>
    </dxf>
    <dxf>
      <font>
        <b/>
        <i val="0"/>
        <strike val="0"/>
        <condense val="0"/>
        <extend val="0"/>
        <outline val="0"/>
        <shadow val="0"/>
        <u val="none"/>
        <vertAlign val="baseline"/>
        <sz val="16"/>
        <color theme="1"/>
        <name val="Aptos Narrow"/>
        <family val="2"/>
        <scheme val="minor"/>
      </font>
      <alignment horizontal="center" vertical="center" textRotation="0" wrapText="0" indent="0" justifyLastLine="0" shrinkToFit="0" readingOrder="0"/>
      <border diagonalUp="0" diagonalDown="0" outline="0">
        <left style="thick">
          <color indexed="64"/>
        </left>
        <right style="thick">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5.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[Yashantu singh Assignment 2.xlsx]Pivot Table!PivotTable3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Table'!$I$3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414-4439-B9A0-189B294DFDF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414-4439-B9A0-189B294DFDF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414-4439-B9A0-189B294DFDF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414-4439-B9A0-189B294DFDF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414-4439-B9A0-189B294DFDF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414-4439-B9A0-189B294DFDF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414-4439-B9A0-189B294DFDF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414-4439-B9A0-189B294DFDFE}"/>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B414-4439-B9A0-189B294DFDFE}"/>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B414-4439-B9A0-189B294DFDFE}"/>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B414-4439-B9A0-189B294DFDFE}"/>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B414-4439-B9A0-189B294DFDFE}"/>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B414-4439-B9A0-189B294DFDFE}"/>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B414-4439-B9A0-189B294DFDFE}"/>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B414-4439-B9A0-189B294DFDFE}"/>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B414-4439-B9A0-189B294DFDFE}"/>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B414-4439-B9A0-189B294DFDFE}"/>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B414-4439-B9A0-189B294DFDFE}"/>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B414-4439-B9A0-189B294DFDFE}"/>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B414-4439-B9A0-189B294DFDFE}"/>
              </c:ext>
            </c:extLst>
          </c:dPt>
          <c:cat>
            <c:multiLvlStrRef>
              <c:f>'Pivot Table'!$F$4:$H$36</c:f>
              <c:multiLvlStrCache>
                <c:ptCount val="20"/>
                <c:lvl>
                  <c:pt idx="0">
                    <c:v>Remote</c:v>
                  </c:pt>
                  <c:pt idx="1">
                    <c:v>Hybrid</c:v>
                  </c:pt>
                  <c:pt idx="2">
                    <c:v>On-Site</c:v>
                  </c:pt>
                  <c:pt idx="3">
                    <c:v>Remote</c:v>
                  </c:pt>
                  <c:pt idx="4">
                    <c:v>Hybrid</c:v>
                  </c:pt>
                  <c:pt idx="5">
                    <c:v>On-Site</c:v>
                  </c:pt>
                  <c:pt idx="6">
                    <c:v>Remote</c:v>
                  </c:pt>
                  <c:pt idx="7">
                    <c:v>Hybrid</c:v>
                  </c:pt>
                  <c:pt idx="8">
                    <c:v>On-Site</c:v>
                  </c:pt>
                  <c:pt idx="9">
                    <c:v>Remote</c:v>
                  </c:pt>
                  <c:pt idx="10">
                    <c:v>Hybrid</c:v>
                  </c:pt>
                  <c:pt idx="11">
                    <c:v>On-Site</c:v>
                  </c:pt>
                  <c:pt idx="12">
                    <c:v>Remote</c:v>
                  </c:pt>
                  <c:pt idx="13">
                    <c:v>Hybrid</c:v>
                  </c:pt>
                  <c:pt idx="14">
                    <c:v>On-Site</c:v>
                  </c:pt>
                  <c:pt idx="15">
                    <c:v>Hybrid</c:v>
                  </c:pt>
                  <c:pt idx="16">
                    <c:v>On-Site</c:v>
                  </c:pt>
                  <c:pt idx="17">
                    <c:v>Hybrid</c:v>
                  </c:pt>
                  <c:pt idx="18">
                    <c:v>On-Site</c:v>
                  </c:pt>
                  <c:pt idx="19">
                    <c:v>Remote</c:v>
                  </c:pt>
                </c:lvl>
                <c:lvl>
                  <c:pt idx="0">
                    <c:v>Midlevel</c:v>
                  </c:pt>
                  <c:pt idx="1">
                    <c:v>Junior</c:v>
                  </c:pt>
                  <c:pt idx="4">
                    <c:v>Lead</c:v>
                  </c:pt>
                  <c:pt idx="7">
                    <c:v>Midlevel</c:v>
                  </c:pt>
                  <c:pt idx="10">
                    <c:v>Senior</c:v>
                  </c:pt>
                  <c:pt idx="13">
                    <c:v>Junior</c:v>
                  </c:pt>
                  <c:pt idx="14">
                    <c:v>Lead</c:v>
                  </c:pt>
                  <c:pt idx="15">
                    <c:v>Midlevel</c:v>
                  </c:pt>
                  <c:pt idx="17">
                    <c:v>Senior</c:v>
                  </c:pt>
                </c:lvl>
                <c:lvl>
                  <c:pt idx="0">
                    <c:v>Data Analyst</c:v>
                  </c:pt>
                  <c:pt idx="1">
                    <c:v>Data Scientist</c:v>
                  </c:pt>
                  <c:pt idx="13">
                    <c:v>Machine Learning Engineer</c:v>
                  </c:pt>
                </c:lvl>
              </c:multiLvlStrCache>
            </c:multiLvlStrRef>
          </c:cat>
          <c:val>
            <c:numRef>
              <c:f>'Pivot Table'!$I$4:$I$36</c:f>
              <c:numCache>
                <c:formatCode>General</c:formatCode>
                <c:ptCount val="20"/>
                <c:pt idx="0">
                  <c:v>82020</c:v>
                </c:pt>
                <c:pt idx="1">
                  <c:v>101021</c:v>
                </c:pt>
                <c:pt idx="2">
                  <c:v>59350</c:v>
                </c:pt>
                <c:pt idx="3">
                  <c:v>224880</c:v>
                </c:pt>
                <c:pt idx="4">
                  <c:v>898536</c:v>
                </c:pt>
                <c:pt idx="5">
                  <c:v>1160341</c:v>
                </c:pt>
                <c:pt idx="6">
                  <c:v>578100</c:v>
                </c:pt>
                <c:pt idx="7">
                  <c:v>93257</c:v>
                </c:pt>
                <c:pt idx="8">
                  <c:v>1370328</c:v>
                </c:pt>
                <c:pt idx="9">
                  <c:v>136624</c:v>
                </c:pt>
                <c:pt idx="10">
                  <c:v>2951570</c:v>
                </c:pt>
                <c:pt idx="11">
                  <c:v>7637307</c:v>
                </c:pt>
                <c:pt idx="12">
                  <c:v>2050188</c:v>
                </c:pt>
                <c:pt idx="13">
                  <c:v>585825</c:v>
                </c:pt>
                <c:pt idx="14">
                  <c:v>910</c:v>
                </c:pt>
                <c:pt idx="15">
                  <c:v>3890</c:v>
                </c:pt>
                <c:pt idx="16">
                  <c:v>339272</c:v>
                </c:pt>
                <c:pt idx="17">
                  <c:v>112280</c:v>
                </c:pt>
                <c:pt idx="18">
                  <c:v>210571</c:v>
                </c:pt>
                <c:pt idx="19">
                  <c:v>62050</c:v>
                </c:pt>
              </c:numCache>
            </c:numRef>
          </c:val>
          <c:extLst>
            <c:ext xmlns:c16="http://schemas.microsoft.com/office/drawing/2014/chart" uri="{C3380CC4-5D6E-409C-BE32-E72D297353CC}">
              <c16:uniqueId val="{00000000-2B2D-4EC3-A406-E74A549686A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15875</xdr:colOff>
      <xdr:row>1</xdr:row>
      <xdr:rowOff>18246</xdr:rowOff>
    </xdr:to>
    <xdr:pic>
      <xdr:nvPicPr>
        <xdr:cNvPr id="3" name="Picture 2">
          <a:extLst>
            <a:ext uri="{FF2B5EF4-FFF2-40B4-BE49-F238E27FC236}">
              <a16:creationId xmlns:a16="http://schemas.microsoft.com/office/drawing/2014/main" id="{338A10D1-2FEE-533A-1542-D495A7994038}"/>
            </a:ext>
          </a:extLst>
        </xdr:cNvPr>
        <xdr:cNvPicPr>
          <a:picLocks noChangeAspect="1"/>
        </xdr:cNvPicPr>
      </xdr:nvPicPr>
      <xdr:blipFill>
        <a:blip xmlns:r="http://schemas.openxmlformats.org/officeDocument/2006/relationships" r:embed="rId1">
          <a:alphaModFix amt="50000"/>
        </a:blip>
        <a:stretch>
          <a:fillRect/>
        </a:stretch>
      </xdr:blipFill>
      <xdr:spPr>
        <a:xfrm>
          <a:off x="0" y="0"/>
          <a:ext cx="30908625" cy="621496"/>
        </a:xfrm>
        <a:prstGeom prst="rect">
          <a:avLst/>
        </a:prstGeom>
      </xdr:spPr>
    </xdr:pic>
    <xdr:clientData/>
  </xdr:twoCellAnchor>
  <xdr:twoCellAnchor>
    <xdr:from>
      <xdr:col>11</xdr:col>
      <xdr:colOff>480869</xdr:colOff>
      <xdr:row>1</xdr:row>
      <xdr:rowOff>12700</xdr:rowOff>
    </xdr:from>
    <xdr:to>
      <xdr:col>14</xdr:col>
      <xdr:colOff>499918</xdr:colOff>
      <xdr:row>21</xdr:row>
      <xdr:rowOff>118048</xdr:rowOff>
    </xdr:to>
    <xdr:grpSp>
      <xdr:nvGrpSpPr>
        <xdr:cNvPr id="9" name="Group 8">
          <a:extLst>
            <a:ext uri="{FF2B5EF4-FFF2-40B4-BE49-F238E27FC236}">
              <a16:creationId xmlns:a16="http://schemas.microsoft.com/office/drawing/2014/main" id="{B52BF462-6147-978D-266D-DEDD81046428}"/>
            </a:ext>
          </a:extLst>
        </xdr:cNvPr>
        <xdr:cNvGrpSpPr/>
      </xdr:nvGrpSpPr>
      <xdr:grpSpPr>
        <a:xfrm>
          <a:off x="31402140" y="604649"/>
          <a:ext cx="1859473" cy="934419"/>
          <a:chOff x="31099414" y="613064"/>
          <a:chExt cx="1854777" cy="4192439"/>
        </a:xfrm>
      </xdr:grpSpPr>
      <mc:AlternateContent xmlns:mc="http://schemas.openxmlformats.org/markup-compatibility/2006" xmlns:sle15="http://schemas.microsoft.com/office/drawing/2012/slicer">
        <mc:Choice Requires="sle15">
          <xdr:graphicFrame macro="">
            <xdr:nvGraphicFramePr>
              <xdr:cNvPr id="7" name="Job Title">
                <a:extLst>
                  <a:ext uri="{FF2B5EF4-FFF2-40B4-BE49-F238E27FC236}">
                    <a16:creationId xmlns:a16="http://schemas.microsoft.com/office/drawing/2014/main" id="{A6BBCD9D-B03B-0CEF-8006-68F45F8338BD}"/>
                  </a:ext>
                </a:extLst>
              </xdr:cNvPr>
              <xdr:cNvGraphicFramePr/>
            </xdr:nvGraphicFramePr>
            <xdr:xfrm>
              <a:off x="31099414" y="613064"/>
              <a:ext cx="1828800" cy="1164936"/>
            </xdr:xfrm>
            <a:graphic>
              <a:graphicData uri="http://schemas.microsoft.com/office/drawing/2010/slicer">
                <sle:slicer xmlns:sle="http://schemas.microsoft.com/office/drawing/2010/slicer" name="Job Title"/>
              </a:graphicData>
            </a:graphic>
          </xdr:graphicFrame>
        </mc:Choice>
        <mc:Fallback xmlns="">
          <xdr:sp macro="" textlink="">
            <xdr:nvSpPr>
              <xdr:cNvPr id="0" name=""/>
              <xdr:cNvSpPr>
                <a:spLocks noTextEdit="1"/>
              </xdr:cNvSpPr>
            </xdr:nvSpPr>
            <xdr:spPr>
              <a:xfrm>
                <a:off x="31099414" y="613064"/>
                <a:ext cx="1828800" cy="1164936"/>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8" name="Industry">
                <a:extLst>
                  <a:ext uri="{FF2B5EF4-FFF2-40B4-BE49-F238E27FC236}">
                    <a16:creationId xmlns:a16="http://schemas.microsoft.com/office/drawing/2014/main" id="{F8CB6E78-A73E-A2FB-5D04-E6D0B0C7FD4F}"/>
                  </a:ext>
                </a:extLst>
              </xdr:cNvPr>
              <xdr:cNvGraphicFramePr/>
            </xdr:nvGraphicFramePr>
            <xdr:xfrm>
              <a:off x="31125391" y="2186131"/>
              <a:ext cx="1828800" cy="2619372"/>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31125391" y="2186131"/>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177800</xdr:rowOff>
    </xdr:from>
    <xdr:to>
      <xdr:col>4</xdr:col>
      <xdr:colOff>391584</xdr:colOff>
      <xdr:row>36</xdr:row>
      <xdr:rowOff>6350</xdr:rowOff>
    </xdr:to>
    <xdr:graphicFrame macro="">
      <xdr:nvGraphicFramePr>
        <xdr:cNvPr id="2" name="Chart 1">
          <a:extLst>
            <a:ext uri="{FF2B5EF4-FFF2-40B4-BE49-F238E27FC236}">
              <a16:creationId xmlns:a16="http://schemas.microsoft.com/office/drawing/2014/main" id="{190E02F3-C566-10DC-F018-34CC89294E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82550</xdr:colOff>
      <xdr:row>2</xdr:row>
      <xdr:rowOff>38100</xdr:rowOff>
    </xdr:from>
    <xdr:to>
      <xdr:col>10</xdr:col>
      <xdr:colOff>800100</xdr:colOff>
      <xdr:row>25</xdr:row>
      <xdr:rowOff>171450</xdr:rowOff>
    </xdr:to>
    <xdr:grpSp>
      <xdr:nvGrpSpPr>
        <xdr:cNvPr id="6" name="Group 5">
          <a:extLst>
            <a:ext uri="{FF2B5EF4-FFF2-40B4-BE49-F238E27FC236}">
              <a16:creationId xmlns:a16="http://schemas.microsoft.com/office/drawing/2014/main" id="{0A77DAE2-FD74-64AD-35D5-640D7603DD86}"/>
            </a:ext>
          </a:extLst>
        </xdr:cNvPr>
        <xdr:cNvGrpSpPr/>
      </xdr:nvGrpSpPr>
      <xdr:grpSpPr>
        <a:xfrm>
          <a:off x="8355693" y="400957"/>
          <a:ext cx="1860550" cy="4306207"/>
          <a:chOff x="8293100" y="406400"/>
          <a:chExt cx="1860550" cy="4368800"/>
        </a:xfrm>
      </xdr:grpSpPr>
      <mc:AlternateContent xmlns:mc="http://schemas.openxmlformats.org/markup-compatibility/2006" xmlns:a14="http://schemas.microsoft.com/office/drawing/2010/main">
        <mc:Choice Requires="a14">
          <xdr:graphicFrame macro="">
            <xdr:nvGraphicFramePr>
              <xdr:cNvPr id="3" name="Job Title 1">
                <a:extLst>
                  <a:ext uri="{FF2B5EF4-FFF2-40B4-BE49-F238E27FC236}">
                    <a16:creationId xmlns:a16="http://schemas.microsoft.com/office/drawing/2014/main" id="{A1C86750-711D-721C-F292-2B0C69B1F1FB}"/>
                  </a:ext>
                </a:extLst>
              </xdr:cNvPr>
              <xdr:cNvGraphicFramePr/>
            </xdr:nvGraphicFramePr>
            <xdr:xfrm>
              <a:off x="8324850" y="406400"/>
              <a:ext cx="1828800" cy="1257300"/>
            </xdr:xfrm>
            <a:graphic>
              <a:graphicData uri="http://schemas.microsoft.com/office/drawing/2010/slicer">
                <sle:slicer xmlns:sle="http://schemas.microsoft.com/office/drawing/2010/slicer" name="Job Title 1"/>
              </a:graphicData>
            </a:graphic>
          </xdr:graphicFrame>
        </mc:Choice>
        <mc:Fallback xmlns="">
          <xdr:sp macro="" textlink="">
            <xdr:nvSpPr>
              <xdr:cNvPr id="0" name=""/>
              <xdr:cNvSpPr>
                <a:spLocks noTextEdit="1"/>
              </xdr:cNvSpPr>
            </xdr:nvSpPr>
            <xdr:spPr>
              <a:xfrm>
                <a:off x="8337550" y="397933"/>
                <a:ext cx="1828800" cy="1229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 name="Seniority Level">
                <a:extLst>
                  <a:ext uri="{FF2B5EF4-FFF2-40B4-BE49-F238E27FC236}">
                    <a16:creationId xmlns:a16="http://schemas.microsoft.com/office/drawing/2014/main" id="{DE7FF05E-550E-2B96-0D0D-8ADF99C8E92F}"/>
                  </a:ext>
                </a:extLst>
              </xdr:cNvPr>
              <xdr:cNvGraphicFramePr/>
            </xdr:nvGraphicFramePr>
            <xdr:xfrm>
              <a:off x="8293100" y="1860550"/>
              <a:ext cx="1828800" cy="1549400"/>
            </xdr:xfrm>
            <a:graphic>
              <a:graphicData uri="http://schemas.microsoft.com/office/drawing/2010/slicer">
                <sle:slicer xmlns:sle="http://schemas.microsoft.com/office/drawing/2010/slicer" name="Seniority Level"/>
              </a:graphicData>
            </a:graphic>
          </xdr:graphicFrame>
        </mc:Choice>
        <mc:Fallback xmlns="">
          <xdr:sp macro="" textlink="">
            <xdr:nvSpPr>
              <xdr:cNvPr id="0" name=""/>
              <xdr:cNvSpPr>
                <a:spLocks noTextEdit="1"/>
              </xdr:cNvSpPr>
            </xdr:nvSpPr>
            <xdr:spPr>
              <a:xfrm>
                <a:off x="8305800" y="1819675"/>
                <a:ext cx="1828800" cy="15148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 name="Status">
                <a:extLst>
                  <a:ext uri="{FF2B5EF4-FFF2-40B4-BE49-F238E27FC236}">
                    <a16:creationId xmlns:a16="http://schemas.microsoft.com/office/drawing/2014/main" id="{98BE9A04-6F21-5168-F1F5-C93E0092522E}"/>
                  </a:ext>
                </a:extLst>
              </xdr:cNvPr>
              <xdr:cNvGraphicFramePr/>
            </xdr:nvGraphicFramePr>
            <xdr:xfrm>
              <a:off x="8305800" y="3536950"/>
              <a:ext cx="1828800" cy="123825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8318500" y="3458713"/>
                <a:ext cx="1828800" cy="12106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ANTU AWANA" refreshedDate="45934.462218287037" createdVersion="8" refreshedVersion="8" minRefreshableVersion="3" recordCount="509" xr:uid="{5BFEC4B5-3D82-4BA4-9E14-C7584CA66DB9}">
  <cacheSource type="worksheet">
    <worksheetSource name="Table1"/>
  </cacheSource>
  <cacheFields count="11">
    <cacheField name="Job Title" numFmtId="0">
      <sharedItems count="3">
        <s v="Data Scientist"/>
        <s v="Machine Learning Engineer"/>
        <s v="Data Analyst"/>
      </sharedItems>
    </cacheField>
    <cacheField name="Seniority Level" numFmtId="0">
      <sharedItems count="4">
        <s v="Senior"/>
        <s v="Lead"/>
        <s v="Junior"/>
        <s v="Midlevel"/>
      </sharedItems>
    </cacheField>
    <cacheField name="Status" numFmtId="0">
      <sharedItems count="3">
        <s v="Hybrid"/>
        <s v="On-Site"/>
        <s v="Remote"/>
      </sharedItems>
    </cacheField>
    <cacheField name="Company" numFmtId="0">
      <sharedItems count="380">
        <s v="Company_003"/>
        <s v="Company_005"/>
        <s v="Company_007"/>
        <s v="Company_008"/>
        <s v="Company_009"/>
        <s v="Company_013"/>
        <s v="Company_014"/>
        <s v="Company_015"/>
        <s v="Company_019"/>
        <s v="Company_021"/>
        <s v="Company_022"/>
        <s v="Company_027"/>
        <s v="Company_029"/>
        <s v="Company_031"/>
        <s v="Company_034"/>
        <s v="Company_037"/>
        <s v="Company_038"/>
        <s v="Company_039"/>
        <s v="Company_040"/>
        <s v="Company_041"/>
        <s v="Company_043"/>
        <s v="Company_044"/>
        <s v="Company_045"/>
        <s v="Company_046"/>
        <s v="Company_047"/>
        <s v="Company_048"/>
        <s v="Company_049"/>
        <s v="Company_050"/>
        <s v="Company_051"/>
        <s v="Company_052"/>
        <s v="Company_054"/>
        <s v="Company_057"/>
        <s v="Company_061"/>
        <s v="Company_064"/>
        <s v="Company_065"/>
        <s v="Company_066"/>
        <s v="Company_067"/>
        <s v="Company_069"/>
        <s v="Company_071"/>
        <s v="Company_075"/>
        <s v="Company_077"/>
        <s v="Company_078"/>
        <s v="Company_080"/>
        <s v="Company_081"/>
        <s v="Company_084"/>
        <s v="Company_089"/>
        <s v="Company_092"/>
        <s v="Company_093"/>
        <s v="Company_094"/>
        <s v="Company_095"/>
        <s v="Company_096"/>
        <s v="Company_098"/>
        <s v="Company_099"/>
        <s v="Company_100"/>
        <s v="Company_101"/>
        <s v="Company_103"/>
        <s v="Company_106"/>
        <s v="Company_112"/>
        <s v="Company_113"/>
        <s v="Company_115"/>
        <s v="Company_116"/>
        <s v="Company_119"/>
        <s v="Company_121"/>
        <s v="Company_126"/>
        <s v="Company_129"/>
        <s v="Company_134"/>
        <s v="Company_135"/>
        <s v="Company_137"/>
        <s v="Company_141"/>
        <s v="Company_145"/>
        <s v="Company_146"/>
        <s v="Company_148"/>
        <s v="Company_153"/>
        <s v="Company_155"/>
        <s v="Company_156"/>
        <s v="Company_158"/>
        <s v="Company_159"/>
        <s v="Company_164"/>
        <s v="Company_166"/>
        <s v="Company_169"/>
        <s v="Company_170"/>
        <s v="Company_171"/>
        <s v="Company_173"/>
        <s v="Company_176"/>
        <s v="Company_177"/>
        <s v="Company_178"/>
        <s v="Company_179"/>
        <s v="Company_181"/>
        <s v="Company_182"/>
        <s v="Company_183"/>
        <s v="Company_184"/>
        <s v="Company_185"/>
        <s v="Company_186"/>
        <s v="Company_192"/>
        <s v="Company_193"/>
        <s v="Company_196"/>
        <s v="Company_197"/>
        <s v="Company_199"/>
        <s v="Company_203"/>
        <s v="Company_207"/>
        <s v="Company_209"/>
        <s v="Company_211"/>
        <s v="Company_212"/>
        <s v="Company_215"/>
        <s v="Company_221"/>
        <s v="Company_223"/>
        <s v="Company_225"/>
        <s v="Company_226"/>
        <s v="Company_227"/>
        <s v="Company_230"/>
        <s v="Company_231"/>
        <s v="Company_233"/>
        <s v="Company_235"/>
        <s v="Company_236"/>
        <s v="Company_241"/>
        <s v="Company_243"/>
        <s v="Company_244"/>
        <s v="Company_246"/>
        <s v="Company_250"/>
        <s v="Company_252"/>
        <s v="Company_254"/>
        <s v="Company_255"/>
        <s v="Company_256"/>
        <s v="Company_257"/>
        <s v="Company_261"/>
        <s v="Company_268"/>
        <s v="Company_269"/>
        <s v="Company_270"/>
        <s v="Company_273"/>
        <s v="Company_276"/>
        <s v="Company_279"/>
        <s v="Company_280"/>
        <s v="Company_282"/>
        <s v="Company_288"/>
        <s v="Company_290"/>
        <s v="Company_291"/>
        <s v="Company_293"/>
        <s v="Company_295"/>
        <s v="Company_296"/>
        <s v="Company_298"/>
        <s v="Company_303"/>
        <s v="Company_305"/>
        <s v="Company_306"/>
        <s v="Company_308"/>
        <s v="Company_309"/>
        <s v="Company_310"/>
        <s v="Company_312"/>
        <s v="Company_315"/>
        <s v="Company_316"/>
        <s v="Company_251"/>
        <s v="Company_318"/>
        <s v="Company_324"/>
        <s v="Company_326"/>
        <s v="Company_328"/>
        <s v="Company_336"/>
        <s v="Company_337"/>
        <s v="Company_339"/>
        <s v="Company_340"/>
        <s v="Company_341"/>
        <s v="Company_343"/>
        <s v="Company_201"/>
        <s v="Company_352"/>
        <s v="Company_353"/>
        <s v="Company_355"/>
        <s v="Company_357"/>
        <s v="Company_360"/>
        <s v="Company_362"/>
        <s v="Company_363"/>
        <s v="Company_365"/>
        <s v="Company_366"/>
        <s v="Company_367"/>
        <s v="Company_371"/>
        <s v="Company_382"/>
        <s v="Company_383"/>
        <s v="Company_384"/>
        <s v="Company_387"/>
        <s v="Company_389"/>
        <s v="Company_391"/>
        <s v="Company_392"/>
        <s v="Company_395"/>
        <s v="Company_403"/>
        <s v="Company_404"/>
        <s v="Company_410"/>
        <s v="Company_411"/>
        <s v="Company_412"/>
        <s v="Company_414"/>
        <s v="Company_417"/>
        <s v="Company_418"/>
        <s v="Company_421"/>
        <s v="Company_422"/>
        <s v="Company_423"/>
        <s v="Company_425"/>
        <s v="Company_426"/>
        <s v="Company_428"/>
        <s v="Company_433"/>
        <s v="Company_435"/>
        <s v="Company_438"/>
        <s v="Company_440"/>
        <s v="Company_449"/>
        <s v="Company_450"/>
        <s v="Company_456"/>
        <s v="Company_457"/>
        <s v="Company_460"/>
        <s v="Company_461"/>
        <s v="Company_465"/>
        <s v="Company_025"/>
        <s v="Company_468"/>
        <s v="Company_470"/>
        <s v="Company_474"/>
        <s v="Company_475"/>
        <s v="Company_477"/>
        <s v="Company_142"/>
        <s v="Company_480"/>
        <s v="Company_482"/>
        <s v="Company_484"/>
        <s v="Company_485"/>
        <s v="Company_486"/>
        <s v="Company_313"/>
        <s v="Company_488"/>
        <s v="Company_490"/>
        <s v="Company_499"/>
        <s v="Company_500"/>
        <s v="Company_503"/>
        <s v="Company_513"/>
        <s v="Company_516"/>
        <s v="Company_517"/>
        <s v="Company_521"/>
        <s v="Company_523"/>
        <s v="Company_524"/>
        <s v="Company_527"/>
        <s v="Company_532"/>
        <s v="Company_540"/>
        <s v="Company_544"/>
        <s v="Company_545"/>
        <s v="Company_546"/>
        <s v="Company_549"/>
        <s v="Company_551"/>
        <s v="Company_555"/>
        <s v="Company_558"/>
        <s v="Company_564"/>
        <s v="Company_568"/>
        <s v="Company_572"/>
        <s v="Company_574"/>
        <s v="Company_577"/>
        <s v="Company_579"/>
        <s v="Company_587"/>
        <s v="Company_589"/>
        <s v="Company_590"/>
        <s v="Company_591"/>
        <s v="Company_596"/>
        <s v="Company_598"/>
        <s v="Company_601"/>
        <s v="Company_603"/>
        <s v="Company_472"/>
        <s v="Company_607"/>
        <s v="Company_608"/>
        <s v="Company_609"/>
        <s v="Company_610"/>
        <s v="Company_611"/>
        <s v="Company_614"/>
        <s v="Company_615"/>
        <s v="Company_624"/>
        <s v="Company_625"/>
        <s v="Company_631"/>
        <s v="Company_634"/>
        <s v="Company_638"/>
        <s v="Company_640"/>
        <s v="Company_642"/>
        <s v="Company_643"/>
        <s v="Company_645"/>
        <s v="Company_647"/>
        <s v="Company_653"/>
        <s v="Company_654"/>
        <s v="Company_662"/>
        <s v="Company_665"/>
        <s v="Company_666"/>
        <s v="Company_668"/>
        <s v="Company_670"/>
        <s v="Company_675"/>
        <s v="Company_216"/>
        <s v="Company_678"/>
        <s v="Company_680"/>
        <s v="Company_685"/>
        <s v="Company_689"/>
        <s v="Company_690"/>
        <s v="Company_694"/>
        <s v="Company_697"/>
        <s v="Company_702"/>
        <s v="Company_704"/>
        <s v="Company_705"/>
        <s v="Company_706"/>
        <s v="Company_708"/>
        <s v="Company_709"/>
        <s v="Company_714"/>
        <s v="Company_718"/>
        <s v="Company_723"/>
        <s v="Company_727"/>
        <s v="Company_728"/>
        <s v="Company_737"/>
        <s v="Company_738"/>
        <s v="Company_742"/>
        <s v="Company_744"/>
        <s v="Company_745"/>
        <s v="Company_746"/>
        <s v="Company_754"/>
        <s v="Company_757"/>
        <s v="Company_759"/>
        <s v="Company_762"/>
        <s v="Company_763"/>
        <s v="Company_770"/>
        <s v="Company_774"/>
        <s v="Company_780"/>
        <s v="Company_781"/>
        <s v="Company_782"/>
        <s v="Company_785"/>
        <s v="Company_786"/>
        <s v="Company_793"/>
        <s v="Company_795"/>
        <s v="Company_796"/>
        <s v="Company_797"/>
        <s v="Company_800"/>
        <s v="Company_804"/>
        <s v="Company_807"/>
        <s v="Company_445"/>
        <s v="Company_814"/>
        <s v="Company_816"/>
        <s v="Company_817"/>
        <s v="Company_819"/>
        <s v="Company_825"/>
        <s v="Company_832"/>
        <s v="Company_833"/>
        <s v="Company_836"/>
        <s v="Company_837"/>
        <s v="Company_840"/>
        <s v="Company_844"/>
        <s v="Company_845"/>
        <s v="Company_846"/>
        <s v="Company_848"/>
        <s v="Company_851"/>
        <s v="Company_852"/>
        <s v="Company_420"/>
        <s v="Company_859"/>
        <s v="Company_861"/>
        <s v="Company_864"/>
        <s v="Company_667"/>
        <s v="Company_083"/>
        <s v="Company_870"/>
        <s v="Company_871"/>
        <s v="Company_152"/>
        <s v="Company_873"/>
        <s v="Company_875"/>
        <s v="Company_878"/>
        <s v="Company_879"/>
        <s v="Company_880"/>
        <s v="Company_883"/>
        <s v="Company_032"/>
        <s v="Company_885"/>
        <s v="Company_889"/>
        <s v="Company_894"/>
        <s v="Company_895"/>
        <s v="Company_896"/>
        <s v="Company_905"/>
        <s v="Company_909"/>
        <s v="Company_912"/>
        <s v="Company_914"/>
        <s v="Company_695"/>
        <s v="Company_916"/>
        <s v="Company_917"/>
        <s v="Company_922"/>
        <s v="Company_416"/>
        <s v="Company_415"/>
        <s v="Company_893"/>
        <s v="Company_924"/>
        <s v="Company_925"/>
        <s v="Company_928"/>
        <s v="Company_930"/>
        <s v="Company_932"/>
        <s v="Company_937"/>
        <s v="Company_941"/>
        <s v="Company_214"/>
      </sharedItems>
    </cacheField>
    <cacheField name="Location" numFmtId="0">
      <sharedItems containsBlank="1"/>
    </cacheField>
    <cacheField name="Post Date" numFmtId="0">
      <sharedItems/>
    </cacheField>
    <cacheField name="Headquarter" numFmtId="0">
      <sharedItems/>
    </cacheField>
    <cacheField name="Industry" numFmtId="0">
      <sharedItems/>
    </cacheField>
    <cacheField name="Ownership" numFmtId="0">
      <sharedItems/>
    </cacheField>
    <cacheField name="Company Size" numFmtId="0">
      <sharedItems containsMixedTypes="1" containsNumber="1" containsInteger="1" minValue="5" maxValue="865436" count="345">
        <n v="35244"/>
        <n v="155030"/>
        <n v="25930"/>
        <n v="34690"/>
        <n v="1800"/>
        <n v="150"/>
        <n v="17471"/>
        <n v="900"/>
        <n v="126"/>
        <n v="5520"/>
        <n v="103010"/>
        <n v="240"/>
        <n v="21030"/>
        <n v="128890"/>
        <n v="45"/>
        <n v="300"/>
        <n v="132000"/>
        <n v="257150"/>
        <n v="130"/>
        <n v="93580"/>
        <n v="44010"/>
        <n v="11610"/>
        <n v="100"/>
        <n v="222070"/>
        <n v="340"/>
        <n v="3780"/>
        <n v="807"/>
        <n v="8010"/>
        <n v="26950"/>
        <n v="4820"/>
        <n v="157200"/>
        <n v="1320"/>
        <n v="4780"/>
        <n v="26070"/>
        <n v="1790"/>
        <n v="5260"/>
        <n v="210"/>
        <n v="9070"/>
        <n v="9030"/>
        <n v="60"/>
        <n v="41020"/>
        <n v="26040"/>
        <n v="5050"/>
        <n v="990"/>
        <n v="2290"/>
        <n v="3810"/>
        <n v="24040"/>
        <n v="46"/>
        <n v="330"/>
        <n v="5"/>
        <n v="950"/>
        <n v="750"/>
        <n v="23860"/>
        <n v="28840"/>
        <n v="10933"/>
        <n v="99620"/>
        <n v="38090"/>
        <n v="2300"/>
        <n v="420"/>
        <n v="118910"/>
        <n v="68400"/>
        <n v="187540"/>
        <n v="17451"/>
        <n v="1290"/>
        <n v="28810"/>
        <n v="5320"/>
        <n v="30"/>
        <n v="5550"/>
        <n v="103070"/>
        <n v="865416"/>
        <n v="530"/>
        <n v="108670"/>
        <n v="2760"/>
        <n v="780"/>
        <n v="14090"/>
        <n v="2570"/>
        <n v="21690"/>
        <n v="2010"/>
        <n v="24780"/>
        <n v="4080"/>
        <n v="52060"/>
        <n v="524608"/>
        <n v="2790"/>
        <n v="4010"/>
        <n v="10100"/>
        <n v="9920"/>
        <n v="3770"/>
        <n v="130040"/>
        <n v="97010"/>
        <n v="830"/>
        <n v="15"/>
        <n v="35020"/>
        <n v="890"/>
        <n v="180"/>
        <n v="19470"/>
        <n v="1230"/>
        <n v="40060"/>
        <n v="1270"/>
        <n v="82020"/>
        <n v="222500"/>
        <n v="580"/>
        <n v="10010"/>
        <n v="24030"/>
        <n v="12300"/>
        <n v="9320"/>
        <n v="24020"/>
        <n v="26910"/>
        <n v="49360"/>
        <n v="78750"/>
        <n v="27450"/>
        <n v="33030"/>
        <n v="93560"/>
        <n v="2820"/>
        <n v="290800"/>
        <n v="23320"/>
        <n v="76020"/>
        <n v="500"/>
        <n v="2520"/>
        <n v="3760"/>
        <n v="21050"/>
        <n v="25940"/>
        <n v="103540"/>
        <n v="30870"/>
        <n v="274280"/>
        <n v="300070"/>
        <n v="78720"/>
        <n v="94540"/>
        <n v="360"/>
        <n v="38130"/>
        <n v="28070"/>
        <n v="68430"/>
        <n v="40050"/>
        <n v="222040"/>
        <n v="26030"/>
        <n v="68160"/>
        <n v="261060"/>
        <n v="108650"/>
        <n v="15440"/>
        <n v="31"/>
        <n v="613"/>
        <n v="24820"/>
        <n v="1020"/>
        <n v="11060"/>
        <n v="88990"/>
        <n v="90"/>
        <n v="182338"/>
        <n v="3540"/>
        <n v="20070"/>
        <n v="212610"/>
        <n v="37990"/>
        <n v="65120"/>
        <n v="55070"/>
        <n v="2540"/>
        <n v="910"/>
        <n v="14460"/>
        <n v="14040"/>
        <n v="7290"/>
        <n v="960"/>
        <n v="600"/>
        <n v="60010"/>
        <n v="48050"/>
        <n v="12090"/>
        <n v="351"/>
        <n v="65870"/>
        <n v="130020"/>
        <n v="132060"/>
        <n v="78060"/>
        <n v="1890"/>
        <n v="128860"/>
        <n v="24320"/>
        <n v="33050"/>
        <n v="97070"/>
        <n v="250"/>
        <n v="660"/>
        <n v="3800"/>
        <n v="9020"/>
        <n v="2780"/>
        <n v="270"/>
        <n v="62010"/>
        <n v="55120"/>
        <n v="37970"/>
        <n v="17010"/>
        <n v="8270"/>
        <n v="14060"/>
        <n v="320"/>
        <n v="9770"/>
        <n v="1280"/>
        <n v="98130"/>
        <n v="2810"/>
        <s v="Private"/>
        <n v="5560"/>
        <n v="56"/>
        <n v="45050"/>
        <n v="55010"/>
        <n v="7100"/>
        <n v="82030"/>
        <n v="7030"/>
        <n v="3570"/>
        <n v="309170"/>
        <n v="12802"/>
        <n v="16011"/>
        <n v="5540"/>
        <n v="310"/>
        <n v="4104"/>
        <n v="45070"/>
        <n v="1050"/>
        <n v="550"/>
        <n v="29480"/>
        <n v="4310"/>
        <n v="83550"/>
        <n v="30830"/>
        <n v="51750"/>
        <n v="75"/>
        <n v="7070"/>
        <n v="524"/>
        <n v="6470"/>
        <n v="8520"/>
        <n v="55215"/>
        <n v="35050"/>
        <n v="1310"/>
        <n v="3040"/>
        <n v="60640"/>
        <n v="18030"/>
        <n v="43933"/>
        <n v="39879"/>
        <n v="490"/>
        <n v="4040"/>
        <n v="205350"/>
        <n v="683"/>
        <n v="8350"/>
        <n v="4770"/>
        <n v="51270"/>
        <n v="10270"/>
        <n v="9300"/>
        <n v="106370"/>
        <n v="157150"/>
        <n v="50040"/>
        <n v="751"/>
        <n v="1040"/>
        <n v="6040"/>
        <n v="57"/>
        <n v="3050"/>
        <n v="5060"/>
        <n v="5030"/>
        <n v="2060"/>
        <n v="4760"/>
        <n v="4270"/>
        <n v="22030"/>
        <n v="2840"/>
        <n v="13070"/>
        <n v="26010"/>
        <n v="3790"/>
        <n v="1780"/>
        <n v="700"/>
        <n v="2320"/>
        <n v="226"/>
        <n v="34020"/>
        <n v="70060"/>
        <n v="26670"/>
        <n v="3060"/>
        <n v="1910"/>
        <n v="25090"/>
        <n v="5674"/>
        <n v="96050"/>
        <n v="5780"/>
        <n v="74020"/>
        <n v="12609"/>
        <n v="3550"/>
        <n v="20600"/>
        <n v="10040"/>
        <n v="2550"/>
        <n v="1570"/>
        <n v="9260"/>
        <n v="2270"/>
        <n v="1260"/>
        <n v="117030"/>
        <n v="3510"/>
        <n v="120010"/>
        <n v="98"/>
        <n v="630"/>
        <n v="37960"/>
        <n v="12270"/>
        <n v="22060"/>
        <n v="865436"/>
        <n v="26630"/>
        <n v="120040"/>
        <n v="76010"/>
        <n v="17040"/>
        <n v="457"/>
        <n v="29490"/>
        <n v="27420"/>
        <n v="65810"/>
        <n v="107710"/>
        <n v="78700"/>
        <n v="9900"/>
        <n v="26060"/>
        <n v="12659"/>
        <n v="24800"/>
        <n v="23910"/>
        <n v="4570"/>
        <n v="182288"/>
        <n v="3560"/>
        <n v="1530"/>
        <n v="187570"/>
        <n v="11020"/>
        <n v="263610"/>
        <n v="33010"/>
        <n v="53700"/>
        <n v="96040"/>
        <n v="21310"/>
        <n v="123020"/>
        <n v="27030"/>
        <n v="117800"/>
        <n v="110020"/>
        <n v="261040"/>
        <n v="1060"/>
        <n v="6160"/>
        <n v="510"/>
        <n v="16070"/>
        <n v="100050"/>
        <n v="68440"/>
        <n v="65130"/>
        <n v="5010"/>
        <n v="15470"/>
        <n v="25920"/>
        <n v="16880"/>
        <n v="62070"/>
        <n v="222030"/>
        <n v="32340"/>
        <n v="3980"/>
        <n v="55090"/>
        <n v="9200"/>
        <n v="1300"/>
        <n v="258790"/>
        <n v="20050"/>
        <n v="26050"/>
        <n v="18200"/>
        <n v="19503"/>
        <n v="51070"/>
        <n v="500010"/>
        <n v="34660"/>
        <n v="22020"/>
        <n v="4110"/>
        <n v="492245"/>
        <n v="57290"/>
      </sharedItems>
    </cacheField>
    <cacheField name="Skills" numFmtId="0">
      <sharedItems/>
    </cacheField>
  </cacheFields>
  <extLst>
    <ext xmlns:x14="http://schemas.microsoft.com/office/spreadsheetml/2009/9/main" uri="{725AE2AE-9491-48be-B2B4-4EB974FC3084}">
      <x14:pivotCacheDefinition pivotCacheId="203767440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ANTU AWANA" refreshedDate="45934.462510069447" createdVersion="8" refreshedVersion="8" minRefreshableVersion="3" recordCount="509" xr:uid="{F72783A6-3F47-4D85-AA5D-B8C1C8238FF3}">
  <cacheSource type="worksheet">
    <worksheetSource name="Table1"/>
  </cacheSource>
  <cacheFields count="11">
    <cacheField name="Job Title" numFmtId="0">
      <sharedItems/>
    </cacheField>
    <cacheField name="Seniority Level" numFmtId="0">
      <sharedItems count="4">
        <s v="Senior"/>
        <s v="Lead"/>
        <s v="Junior"/>
        <s v="Midlevel"/>
      </sharedItems>
    </cacheField>
    <cacheField name="Status" numFmtId="0">
      <sharedItems count="3">
        <s v="Hybrid"/>
        <s v="On-Site"/>
        <s v="Remote"/>
      </sharedItems>
    </cacheField>
    <cacheField name="Company" numFmtId="0">
      <sharedItems count="380">
        <s v="Company_003"/>
        <s v="Company_005"/>
        <s v="Company_007"/>
        <s v="Company_008"/>
        <s v="Company_009"/>
        <s v="Company_013"/>
        <s v="Company_014"/>
        <s v="Company_015"/>
        <s v="Company_019"/>
        <s v="Company_021"/>
        <s v="Company_022"/>
        <s v="Company_027"/>
        <s v="Company_029"/>
        <s v="Company_031"/>
        <s v="Company_034"/>
        <s v="Company_037"/>
        <s v="Company_038"/>
        <s v="Company_039"/>
        <s v="Company_040"/>
        <s v="Company_041"/>
        <s v="Company_043"/>
        <s v="Company_044"/>
        <s v="Company_045"/>
        <s v="Company_046"/>
        <s v="Company_047"/>
        <s v="Company_048"/>
        <s v="Company_049"/>
        <s v="Company_050"/>
        <s v="Company_051"/>
        <s v="Company_052"/>
        <s v="Company_054"/>
        <s v="Company_057"/>
        <s v="Company_061"/>
        <s v="Company_064"/>
        <s v="Company_065"/>
        <s v="Company_066"/>
        <s v="Company_067"/>
        <s v="Company_069"/>
        <s v="Company_071"/>
        <s v="Company_075"/>
        <s v="Company_077"/>
        <s v="Company_078"/>
        <s v="Company_080"/>
        <s v="Company_081"/>
        <s v="Company_084"/>
        <s v="Company_089"/>
        <s v="Company_092"/>
        <s v="Company_093"/>
        <s v="Company_094"/>
        <s v="Company_095"/>
        <s v="Company_096"/>
        <s v="Company_098"/>
        <s v="Company_099"/>
        <s v="Company_100"/>
        <s v="Company_101"/>
        <s v="Company_103"/>
        <s v="Company_106"/>
        <s v="Company_112"/>
        <s v="Company_113"/>
        <s v="Company_115"/>
        <s v="Company_116"/>
        <s v="Company_119"/>
        <s v="Company_121"/>
        <s v="Company_126"/>
        <s v="Company_129"/>
        <s v="Company_134"/>
        <s v="Company_135"/>
        <s v="Company_137"/>
        <s v="Company_141"/>
        <s v="Company_145"/>
        <s v="Company_146"/>
        <s v="Company_148"/>
        <s v="Company_153"/>
        <s v="Company_155"/>
        <s v="Company_156"/>
        <s v="Company_158"/>
        <s v="Company_159"/>
        <s v="Company_164"/>
        <s v="Company_166"/>
        <s v="Company_169"/>
        <s v="Company_170"/>
        <s v="Company_171"/>
        <s v="Company_173"/>
        <s v="Company_176"/>
        <s v="Company_177"/>
        <s v="Company_178"/>
        <s v="Company_179"/>
        <s v="Company_181"/>
        <s v="Company_182"/>
        <s v="Company_183"/>
        <s v="Company_184"/>
        <s v="Company_185"/>
        <s v="Company_186"/>
        <s v="Company_192"/>
        <s v="Company_193"/>
        <s v="Company_196"/>
        <s v="Company_197"/>
        <s v="Company_199"/>
        <s v="Company_203"/>
        <s v="Company_207"/>
        <s v="Company_209"/>
        <s v="Company_211"/>
        <s v="Company_212"/>
        <s v="Company_215"/>
        <s v="Company_221"/>
        <s v="Company_223"/>
        <s v="Company_225"/>
        <s v="Company_226"/>
        <s v="Company_227"/>
        <s v="Company_230"/>
        <s v="Company_231"/>
        <s v="Company_233"/>
        <s v="Company_235"/>
        <s v="Company_236"/>
        <s v="Company_241"/>
        <s v="Company_243"/>
        <s v="Company_244"/>
        <s v="Company_246"/>
        <s v="Company_250"/>
        <s v="Company_252"/>
        <s v="Company_254"/>
        <s v="Company_255"/>
        <s v="Company_256"/>
        <s v="Company_257"/>
        <s v="Company_261"/>
        <s v="Company_268"/>
        <s v="Company_269"/>
        <s v="Company_270"/>
        <s v="Company_273"/>
        <s v="Company_276"/>
        <s v="Company_279"/>
        <s v="Company_280"/>
        <s v="Company_282"/>
        <s v="Company_288"/>
        <s v="Company_290"/>
        <s v="Company_291"/>
        <s v="Company_293"/>
        <s v="Company_295"/>
        <s v="Company_296"/>
        <s v="Company_298"/>
        <s v="Company_303"/>
        <s v="Company_305"/>
        <s v="Company_306"/>
        <s v="Company_308"/>
        <s v="Company_309"/>
        <s v="Company_310"/>
        <s v="Company_312"/>
        <s v="Company_315"/>
        <s v="Company_316"/>
        <s v="Company_251"/>
        <s v="Company_318"/>
        <s v="Company_324"/>
        <s v="Company_326"/>
        <s v="Company_328"/>
        <s v="Company_336"/>
        <s v="Company_337"/>
        <s v="Company_339"/>
        <s v="Company_340"/>
        <s v="Company_341"/>
        <s v="Company_343"/>
        <s v="Company_201"/>
        <s v="Company_352"/>
        <s v="Company_353"/>
        <s v="Company_355"/>
        <s v="Company_357"/>
        <s v="Company_360"/>
        <s v="Company_362"/>
        <s v="Company_363"/>
        <s v="Company_365"/>
        <s v="Company_366"/>
        <s v="Company_367"/>
        <s v="Company_371"/>
        <s v="Company_382"/>
        <s v="Company_383"/>
        <s v="Company_384"/>
        <s v="Company_387"/>
        <s v="Company_389"/>
        <s v="Company_391"/>
        <s v="Company_392"/>
        <s v="Company_395"/>
        <s v="Company_403"/>
        <s v="Company_404"/>
        <s v="Company_410"/>
        <s v="Company_411"/>
        <s v="Company_412"/>
        <s v="Company_414"/>
        <s v="Company_417"/>
        <s v="Company_418"/>
        <s v="Company_421"/>
        <s v="Company_422"/>
        <s v="Company_423"/>
        <s v="Company_425"/>
        <s v="Company_426"/>
        <s v="Company_428"/>
        <s v="Company_433"/>
        <s v="Company_435"/>
        <s v="Company_438"/>
        <s v="Company_440"/>
        <s v="Company_449"/>
        <s v="Company_450"/>
        <s v="Company_456"/>
        <s v="Company_457"/>
        <s v="Company_460"/>
        <s v="Company_461"/>
        <s v="Company_465"/>
        <s v="Company_025"/>
        <s v="Company_468"/>
        <s v="Company_470"/>
        <s v="Company_474"/>
        <s v="Company_475"/>
        <s v="Company_477"/>
        <s v="Company_142"/>
        <s v="Company_480"/>
        <s v="Company_482"/>
        <s v="Company_484"/>
        <s v="Company_485"/>
        <s v="Company_486"/>
        <s v="Company_313"/>
        <s v="Company_488"/>
        <s v="Company_490"/>
        <s v="Company_499"/>
        <s v="Company_500"/>
        <s v="Company_503"/>
        <s v="Company_513"/>
        <s v="Company_516"/>
        <s v="Company_517"/>
        <s v="Company_521"/>
        <s v="Company_523"/>
        <s v="Company_524"/>
        <s v="Company_527"/>
        <s v="Company_532"/>
        <s v="Company_540"/>
        <s v="Company_544"/>
        <s v="Company_545"/>
        <s v="Company_546"/>
        <s v="Company_549"/>
        <s v="Company_551"/>
        <s v="Company_555"/>
        <s v="Company_558"/>
        <s v="Company_564"/>
        <s v="Company_568"/>
        <s v="Company_572"/>
        <s v="Company_574"/>
        <s v="Company_577"/>
        <s v="Company_579"/>
        <s v="Company_587"/>
        <s v="Company_589"/>
        <s v="Company_590"/>
        <s v="Company_591"/>
        <s v="Company_596"/>
        <s v="Company_598"/>
        <s v="Company_601"/>
        <s v="Company_603"/>
        <s v="Company_472"/>
        <s v="Company_607"/>
        <s v="Company_608"/>
        <s v="Company_609"/>
        <s v="Company_610"/>
        <s v="Company_611"/>
        <s v="Company_614"/>
        <s v="Company_615"/>
        <s v="Company_624"/>
        <s v="Company_625"/>
        <s v="Company_631"/>
        <s v="Company_634"/>
        <s v="Company_638"/>
        <s v="Company_640"/>
        <s v="Company_642"/>
        <s v="Company_643"/>
        <s v="Company_645"/>
        <s v="Company_647"/>
        <s v="Company_653"/>
        <s v="Company_654"/>
        <s v="Company_662"/>
        <s v="Company_665"/>
        <s v="Company_666"/>
        <s v="Company_668"/>
        <s v="Company_670"/>
        <s v="Company_675"/>
        <s v="Company_216"/>
        <s v="Company_678"/>
        <s v="Company_680"/>
        <s v="Company_685"/>
        <s v="Company_689"/>
        <s v="Company_690"/>
        <s v="Company_694"/>
        <s v="Company_697"/>
        <s v="Company_702"/>
        <s v="Company_704"/>
        <s v="Company_705"/>
        <s v="Company_706"/>
        <s v="Company_708"/>
        <s v="Company_709"/>
        <s v="Company_714"/>
        <s v="Company_718"/>
        <s v="Company_723"/>
        <s v="Company_727"/>
        <s v="Company_728"/>
        <s v="Company_737"/>
        <s v="Company_738"/>
        <s v="Company_742"/>
        <s v="Company_744"/>
        <s v="Company_745"/>
        <s v="Company_746"/>
        <s v="Company_754"/>
        <s v="Company_757"/>
        <s v="Company_759"/>
        <s v="Company_762"/>
        <s v="Company_763"/>
        <s v="Company_770"/>
        <s v="Company_774"/>
        <s v="Company_780"/>
        <s v="Company_781"/>
        <s v="Company_782"/>
        <s v="Company_785"/>
        <s v="Company_786"/>
        <s v="Company_793"/>
        <s v="Company_795"/>
        <s v="Company_796"/>
        <s v="Company_797"/>
        <s v="Company_800"/>
        <s v="Company_804"/>
        <s v="Company_807"/>
        <s v="Company_445"/>
        <s v="Company_814"/>
        <s v="Company_816"/>
        <s v="Company_817"/>
        <s v="Company_819"/>
        <s v="Company_825"/>
        <s v="Company_832"/>
        <s v="Company_833"/>
        <s v="Company_836"/>
        <s v="Company_837"/>
        <s v="Company_840"/>
        <s v="Company_844"/>
        <s v="Company_845"/>
        <s v="Company_846"/>
        <s v="Company_848"/>
        <s v="Company_851"/>
        <s v="Company_852"/>
        <s v="Company_420"/>
        <s v="Company_859"/>
        <s v="Company_861"/>
        <s v="Company_864"/>
        <s v="Company_667"/>
        <s v="Company_083"/>
        <s v="Company_870"/>
        <s v="Company_871"/>
        <s v="Company_152"/>
        <s v="Company_873"/>
        <s v="Company_875"/>
        <s v="Company_878"/>
        <s v="Company_879"/>
        <s v="Company_880"/>
        <s v="Company_883"/>
        <s v="Company_032"/>
        <s v="Company_885"/>
        <s v="Company_889"/>
        <s v="Company_894"/>
        <s v="Company_895"/>
        <s v="Company_896"/>
        <s v="Company_905"/>
        <s v="Company_909"/>
        <s v="Company_912"/>
        <s v="Company_914"/>
        <s v="Company_695"/>
        <s v="Company_916"/>
        <s v="Company_917"/>
        <s v="Company_922"/>
        <s v="Company_416"/>
        <s v="Company_415"/>
        <s v="Company_893"/>
        <s v="Company_924"/>
        <s v="Company_925"/>
        <s v="Company_928"/>
        <s v="Company_930"/>
        <s v="Company_932"/>
        <s v="Company_937"/>
        <s v="Company_941"/>
        <s v="Company_214"/>
      </sharedItems>
    </cacheField>
    <cacheField name="Location" numFmtId="0">
      <sharedItems containsBlank="1"/>
    </cacheField>
    <cacheField name="Post Date" numFmtId="0">
      <sharedItems count="37">
        <s v="17 days ago"/>
        <s v="15 days ago"/>
        <s v="a month ago"/>
        <s v="8 days ago"/>
        <s v="3 days ago"/>
        <s v="3 months ago"/>
        <s v="9 days ago"/>
        <s v="6 days ago"/>
        <s v="a day ago"/>
        <s v="19 days ago"/>
        <s v="14 days ago"/>
        <s v="13 days ago"/>
        <s v="7 days ago"/>
        <s v="25 days ago"/>
        <s v="3 years ago"/>
        <s v="20 days ago"/>
        <s v="2 months ago"/>
        <s v="12 days ago"/>
        <s v="5 months ago"/>
        <s v="4 days ago"/>
        <s v="2 days ago"/>
        <s v="11 days ago"/>
        <s v="5 days ago"/>
        <s v="21 days ago"/>
        <s v="10 days ago"/>
        <s v="7 months ago"/>
        <s v="22 days ago"/>
        <s v="2 years ago"/>
        <s v="16 days ago"/>
        <s v="23 days ago"/>
        <s v="a year ago"/>
        <s v="4 months ago"/>
        <s v="16 hours ago"/>
        <s v="18 days ago"/>
        <s v="10 months ago"/>
        <s v="17 hours ago"/>
        <s v="6 months ago"/>
      </sharedItems>
    </cacheField>
    <cacheField name="Headquarter" numFmtId="0">
      <sharedItems/>
    </cacheField>
    <cacheField name="Industry" numFmtId="0">
      <sharedItems count="8">
        <s v="Retail"/>
        <s v="Manufacturing"/>
        <s v="Technology"/>
        <s v="Finance"/>
        <s v="Education"/>
        <s v="Healthcare"/>
        <s v="Energy"/>
        <s v="Logistics"/>
      </sharedItems>
    </cacheField>
    <cacheField name="Ownership" numFmtId="0">
      <sharedItems count="2">
        <s v="Public"/>
        <s v="Private"/>
      </sharedItems>
    </cacheField>
    <cacheField name="Company Size" numFmtId="0">
      <sharedItems containsMixedTypes="1" containsNumber="1" containsInteger="1" minValue="5" maxValue="865436"/>
    </cacheField>
    <cacheField name="Skill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9">
  <r>
    <x v="0"/>
    <x v="0"/>
    <x v="0"/>
    <x v="0"/>
    <s v="Grapevine, TX . Hybrid"/>
    <s v="17 days ago"/>
    <s v="Bentonville, AR, US"/>
    <s v="Retail"/>
    <s v="Public"/>
    <x v="0"/>
    <s v="['spark', 'r', 'python', 'scala', 'machine learning', 'tensorflow']"/>
  </r>
  <r>
    <x v="0"/>
    <x v="1"/>
    <x v="0"/>
    <x v="1"/>
    <s v="Fort Worth, TX . Hybrid"/>
    <s v="15 days ago"/>
    <s v="Detroit, MI, US"/>
    <s v="Manufacturing"/>
    <s v="Public"/>
    <x v="1"/>
    <s v="['spark', 'r', 'python', 'sql', 'machine learning']"/>
  </r>
  <r>
    <x v="0"/>
    <x v="0"/>
    <x v="1"/>
    <x v="2"/>
    <s v="Austin, TX . Toronto, Ontario, Canada . Kirkland, WA . Orlando, FL . Edmonton, Alberta, Canada + 1 More"/>
    <s v="a month ago"/>
    <s v="Redwood City, CA, US"/>
    <s v="Technology"/>
    <s v="Public"/>
    <x v="2"/>
    <s v="['aws', 'git', 'python', 'docker', 'sql', 'machine learning', 'gcp', 'kubernetes', 'deep learning']"/>
  </r>
  <r>
    <x v="0"/>
    <x v="0"/>
    <x v="0"/>
    <x v="3"/>
    <s v="Chicago, IL . Scottsdale, AZ . Austin, TX . Hybrid"/>
    <s v="8 days ago"/>
    <s v="San Jose, CA, US"/>
    <s v="Technology"/>
    <s v="Public"/>
    <x v="3"/>
    <s v="['sql', 'r', 'python']"/>
  </r>
  <r>
    <x v="0"/>
    <x v="0"/>
    <x v="1"/>
    <x v="4"/>
    <s v="On-site"/>
    <s v="3 days ago"/>
    <s v="Stamford, CT, US"/>
    <s v="Finance"/>
    <s v="Private"/>
    <x v="4"/>
    <s v="['amazon', 'aws']"/>
  </r>
  <r>
    <x v="0"/>
    <x v="1"/>
    <x v="0"/>
    <x v="5"/>
    <s v="New York, NY"/>
    <s v="3 months ago"/>
    <s v="New York, NY, US"/>
    <s v="Technology"/>
    <s v="Private"/>
    <x v="5"/>
    <s v="['scikit-learn', 'python', 'scala', 'sql', 'machine learning', 'tensorflow']"/>
  </r>
  <r>
    <x v="0"/>
    <x v="2"/>
    <x v="0"/>
    <x v="6"/>
    <s v="Berkeley, CA"/>
    <s v="15 days ago"/>
    <s v="Berkeley, CA, US"/>
    <s v="Education"/>
    <s v="Public"/>
    <x v="6"/>
    <s v="['amazon', 'aws']"/>
  </r>
  <r>
    <x v="1"/>
    <x v="0"/>
    <x v="1"/>
    <x v="7"/>
    <s v="Menlo Park, CA"/>
    <s v="9 days ago"/>
    <s v="Menlo Park, CA, US"/>
    <s v="Technology"/>
    <s v="Public"/>
    <x v="7"/>
    <s v="['machine learning']"/>
  </r>
  <r>
    <x v="0"/>
    <x v="0"/>
    <x v="2"/>
    <x v="8"/>
    <s v="Fully Remote"/>
    <s v="6 days ago"/>
    <s v="Boston, MA, US"/>
    <s v="Technology"/>
    <s v="Private"/>
    <x v="8"/>
    <s v="['amazon', 'aws']"/>
  </r>
  <r>
    <x v="0"/>
    <x v="0"/>
    <x v="1"/>
    <x v="9"/>
    <s v="On-site"/>
    <s v="a day ago"/>
    <s v="San Francisco, CA, US"/>
    <s v="Technology"/>
    <s v="Public"/>
    <x v="9"/>
    <s v="['amazon', 'aws']"/>
  </r>
  <r>
    <x v="0"/>
    <x v="0"/>
    <x v="0"/>
    <x v="10"/>
    <s v="Atlanta, GA"/>
    <s v="15 days ago"/>
    <s v="Charlotte, NC, US"/>
    <s v="Technology"/>
    <s v="Public"/>
    <x v="10"/>
    <s v="['pytorch', 'r', 'python', 'sql', 'machine learning', 'keras', 'deep learning', 'tensorflow']"/>
  </r>
  <r>
    <x v="0"/>
    <x v="3"/>
    <x v="0"/>
    <x v="11"/>
    <s v="Greater Vancouver Metropolitan Area"/>
    <s v="6 days ago"/>
    <s v="Vancouver, BC, CA"/>
    <s v="Education"/>
    <s v="Public"/>
    <x v="11"/>
    <s v="['java', 'git', 'python']"/>
  </r>
  <r>
    <x v="0"/>
    <x v="0"/>
    <x v="2"/>
    <x v="12"/>
    <s v="Minneapolis, MN . Fully Remote"/>
    <s v="8 days ago"/>
    <s v="Golden Valley, MN, US"/>
    <s v="Manufacturing"/>
    <s v="Public"/>
    <x v="12"/>
    <s v="['sql', 'machine learning', 'python']"/>
  </r>
  <r>
    <x v="0"/>
    <x v="0"/>
    <x v="1"/>
    <x v="13"/>
    <s v="Titusville, NJ . Titusville, New Jersey, United States"/>
    <s v="19 days ago"/>
    <s v="New Brunswick, NJ, US"/>
    <s v="Healthcare"/>
    <s v="Public"/>
    <x v="13"/>
    <s v="['sql', 'machine learning', 'r', 'python']"/>
  </r>
  <r>
    <x v="0"/>
    <x v="0"/>
    <x v="1"/>
    <x v="14"/>
    <s v="Arlington, VA"/>
    <s v="a month ago"/>
    <s v="Baltimore, MD, US"/>
    <s v="Technology"/>
    <s v="Private"/>
    <x v="14"/>
    <s v="['pandas', 'powerbi', 'python', 'java', 'sql', 'machine learning', 'tableau']"/>
  </r>
  <r>
    <x v="0"/>
    <x v="0"/>
    <x v="2"/>
    <x v="15"/>
    <s v="Fully Remote"/>
    <s v="14 days ago"/>
    <s v="San Francisco, CA, US"/>
    <s v="Finance"/>
    <s v="Private"/>
    <x v="15"/>
    <s v="['amazon', 'aws']"/>
  </r>
  <r>
    <x v="0"/>
    <x v="1"/>
    <x v="0"/>
    <x v="16"/>
    <s v="Bengaluru, Karnataka, India"/>
    <s v="6 days ago"/>
    <s v="Kista, SE"/>
    <s v="Technology"/>
    <s v="Public"/>
    <x v="16"/>
    <s v="['spark', 'aws', 'r', 'python', 'machine learning', 'gcp', 'deep learning', 'hadoop', 'azure']"/>
  </r>
  <r>
    <x v="0"/>
    <x v="1"/>
    <x v="1"/>
    <x v="17"/>
    <s v="Charlotte, NC . On-site"/>
    <s v="8 days ago"/>
    <s v="San Francisco, CA, US"/>
    <s v="Finance"/>
    <s v="Public"/>
    <x v="17"/>
    <s v="['aws', 'r', 'python', 'sql', 'machine learning', 'azure', 'tableau']"/>
  </r>
  <r>
    <x v="0"/>
    <x v="0"/>
    <x v="2"/>
    <x v="18"/>
    <s v="Fully Remote"/>
    <s v="13 days ago"/>
    <s v="San Francisco, CA, US"/>
    <s v="Education"/>
    <s v="Private"/>
    <x v="18"/>
    <s v="['amazon', 'aws']"/>
  </r>
  <r>
    <x v="1"/>
    <x v="2"/>
    <x v="0"/>
    <x v="19"/>
    <s v="Basel, Basel, Switzerland"/>
    <s v="19 days ago"/>
    <s v="BS, CH"/>
    <s v="Healthcare"/>
    <s v="Public"/>
    <x v="19"/>
    <s v="['pytorch', 'python', 'machine learning', 'deep learning', 'tensorflow']"/>
  </r>
  <r>
    <x v="0"/>
    <x v="0"/>
    <x v="1"/>
    <x v="20"/>
    <s v="Toronto, Ontario, Canada . On-site"/>
    <s v="8 days ago"/>
    <s v="Toronto, ON, CA"/>
    <s v="Finance"/>
    <s v="Public"/>
    <x v="20"/>
    <s v="['pytorch', 'spark', 'git', 'r', 'python', 'sql', 'machine learning', 'tensorflow']"/>
  </r>
  <r>
    <x v="0"/>
    <x v="0"/>
    <x v="1"/>
    <x v="21"/>
    <s v="Findlay, OH . Denver, CO . San Antonio, TX"/>
    <s v="8 days ago"/>
    <s v="Findlay, OH, US"/>
    <s v="Energy"/>
    <s v="Public"/>
    <x v="21"/>
    <s v="['pytorch', 'scikit-learn', 'python', 'machine learning', 'deep learning', 'tensorflow']"/>
  </r>
  <r>
    <x v="0"/>
    <x v="0"/>
    <x v="1"/>
    <x v="22"/>
    <s v="Toronto, Ontario, Canada"/>
    <s v="6 days ago"/>
    <s v="Toronto, ON, CA"/>
    <s v="Technology"/>
    <s v="Private"/>
    <x v="15"/>
    <s v="['airflow', 'spark', 'machine learning', 'python']"/>
  </r>
  <r>
    <x v="0"/>
    <x v="0"/>
    <x v="0"/>
    <x v="23"/>
    <s v="San Francisco, CA"/>
    <s v="3 months ago"/>
    <s v="San Francisco, CA, US"/>
    <s v="Technology"/>
    <s v="Private"/>
    <x v="22"/>
    <s v="['amazon', 'aws']"/>
  </r>
  <r>
    <x v="0"/>
    <x v="1"/>
    <x v="0"/>
    <x v="24"/>
    <s v="Bengaluru, Karnataka, India"/>
    <s v="a month ago"/>
    <s v="Bengaluru, KA, IN"/>
    <s v="Technology"/>
    <s v="Public"/>
    <x v="23"/>
    <s v="['deep learning', 'machine learning']"/>
  </r>
  <r>
    <x v="0"/>
    <x v="0"/>
    <x v="2"/>
    <x v="25"/>
    <s v="Remote, US . Fully Remote"/>
    <s v="3 months ago"/>
    <s v="San Francisco, CA, US"/>
    <s v="Technology"/>
    <s v="Private"/>
    <x v="24"/>
    <s v="['amazon', 'aws']"/>
  </r>
  <r>
    <x v="0"/>
    <x v="0"/>
    <x v="0"/>
    <x v="26"/>
    <s v="Huntsville, AL . Merritt Island, FL . Seattle, WA"/>
    <s v="15 days ago"/>
    <s v="Kent, WA, US"/>
    <s v="Technology"/>
    <s v="Private"/>
    <x v="25"/>
    <s v="['aws', 'git', 'r', 'python', 'docker', 'machine learning', 'kubernetes', 'deep learning', 'azure']"/>
  </r>
  <r>
    <x v="0"/>
    <x v="0"/>
    <x v="0"/>
    <x v="27"/>
    <s v="San Francisco, CA"/>
    <s v="8 days ago"/>
    <s v="San Francisco, CA, US"/>
    <s v="Education"/>
    <s v="Private"/>
    <x v="26"/>
    <s v="['sql', 'machine learning', 'r', 'python']"/>
  </r>
  <r>
    <x v="0"/>
    <x v="0"/>
    <x v="1"/>
    <x v="28"/>
    <s v="Laurel, MD"/>
    <s v="a month ago"/>
    <s v="Laurel, MD, US"/>
    <s v="Technology"/>
    <s v="Public"/>
    <x v="27"/>
    <s v="['python']"/>
  </r>
  <r>
    <x v="1"/>
    <x v="0"/>
    <x v="0"/>
    <x v="29"/>
    <s v="Amsterdam, North Holland, Netherlands"/>
    <s v="a month ago"/>
    <s v="San Francisco, CA, US"/>
    <s v="Technology"/>
    <s v="Public"/>
    <x v="28"/>
    <s v="['sql', 'machine learning', 'python']"/>
  </r>
  <r>
    <x v="0"/>
    <x v="1"/>
    <x v="1"/>
    <x v="30"/>
    <s v="Richmond, VA . On-site"/>
    <s v="7 days ago"/>
    <s v="Washington, DC, US"/>
    <s v="Technology"/>
    <s v="Public"/>
    <x v="29"/>
    <s v="['machine learning', 'python']"/>
  </r>
  <r>
    <x v="0"/>
    <x v="1"/>
    <x v="0"/>
    <x v="31"/>
    <s v="Seattle, WA . Hybrid"/>
    <s v="25 days ago"/>
    <s v="Seattle, WA, US"/>
    <s v="Retail"/>
    <s v="Public"/>
    <x v="30"/>
    <s v="['r', 'python', 'sql', 'machine learning', 'tableau']"/>
  </r>
  <r>
    <x v="0"/>
    <x v="0"/>
    <x v="0"/>
    <x v="32"/>
    <s v="Manchester, England, United Kingdom . Hybrid"/>
    <s v="15 days ago"/>
    <s v="Manchester, GB"/>
    <s v="Technology"/>
    <s v="Public"/>
    <x v="31"/>
    <s v="['spark', 'python', 'airflow', 'sql', 'machine learning']"/>
  </r>
  <r>
    <x v="0"/>
    <x v="0"/>
    <x v="1"/>
    <x v="30"/>
    <s v="Richmond, VA . On-site"/>
    <s v="7 days ago"/>
    <s v="Washington, DC, US"/>
    <s v="Technology"/>
    <s v="Public"/>
    <x v="32"/>
    <s v="['machine learning', 'python']"/>
  </r>
  <r>
    <x v="1"/>
    <x v="3"/>
    <x v="0"/>
    <x v="33"/>
    <s v="Barcelona, Catalonia, Spain"/>
    <s v="7 days ago"/>
    <s v="Barcelona, CT, ES"/>
    <s v="Technology"/>
    <s v="Public"/>
    <x v="7"/>
    <s v="['git', 'r', 'python', 'linux', 'bash']"/>
  </r>
  <r>
    <x v="0"/>
    <x v="0"/>
    <x v="1"/>
    <x v="34"/>
    <s v="Toronto, Ontario, Canada"/>
    <s v="3 days ago"/>
    <s v="Cherry Hill, NJ, US"/>
    <s v="Technology"/>
    <s v="Private"/>
    <x v="33"/>
    <s v="['pandas', 'numpy', 'scikit-learn', 'python', 'sql', 'azure', 'tableau']"/>
  </r>
  <r>
    <x v="0"/>
    <x v="0"/>
    <x v="0"/>
    <x v="35"/>
    <s v="Foster City, CA . Hybrid"/>
    <s v="3 years ago"/>
    <s v="Foster City, CA, US"/>
    <s v="Technology"/>
    <s v="Private"/>
    <x v="34"/>
    <s v="['amazon', 'aws']"/>
  </r>
  <r>
    <x v="0"/>
    <x v="0"/>
    <x v="0"/>
    <x v="36"/>
    <s v="San Francisco, CA, US . Seattle, WA, US . Hybrid"/>
    <s v="19 days ago"/>
    <s v="San Francisco, CA, US"/>
    <s v="Technology"/>
    <s v="Public"/>
    <x v="35"/>
    <s v="['amazon', 'aws']"/>
  </r>
  <r>
    <x v="0"/>
    <x v="1"/>
    <x v="0"/>
    <x v="37"/>
    <s v="United States"/>
    <s v="a month ago"/>
    <s v="Chicago, IL, US"/>
    <s v="Technology"/>
    <s v="Private"/>
    <x v="36"/>
    <s v="['pytorch', 'spark', 'scikit-learn', 'python', 'neural network', 'machine learning', 'deep learning', 'tensorflow']"/>
  </r>
  <r>
    <x v="0"/>
    <x v="3"/>
    <x v="1"/>
    <x v="38"/>
    <s v="Cambridge, MA"/>
    <s v="15 days ago"/>
    <s v="Cambridge, MA, US"/>
    <s v="Technology"/>
    <s v="Public"/>
    <x v="37"/>
    <s v="['r', 'python', 'sql', 'machine learning', 'tableau']"/>
  </r>
  <r>
    <x v="0"/>
    <x v="0"/>
    <x v="1"/>
    <x v="39"/>
    <s v="Atlanta, GA"/>
    <s v="20 days ago"/>
    <s v="Atlanta, GA, US"/>
    <s v="Technology"/>
    <s v="Public"/>
    <x v="38"/>
    <s v="['sql', 'machine learning', 'tableau', 'python']"/>
  </r>
  <r>
    <x v="0"/>
    <x v="0"/>
    <x v="2"/>
    <x v="40"/>
    <s v="United States . Fully Remote"/>
    <s v="2 months ago"/>
    <s v="Phoenix, AZ, US"/>
    <s v="Technology"/>
    <s v="Private"/>
    <x v="39"/>
    <s v="['sql', 'machine learning', 'tableau', 'python']"/>
  </r>
  <r>
    <x v="0"/>
    <x v="0"/>
    <x v="1"/>
    <x v="41"/>
    <s v="San Diego, CA"/>
    <s v="9 days ago"/>
    <s v="San Diego, CA, US"/>
    <s v="Technology"/>
    <s v="Public"/>
    <x v="40"/>
    <s v="['pytorch', 'python', 'docker', 'sql', 'neural network', 'kubernetes', 'tensorflow']"/>
  </r>
  <r>
    <x v="0"/>
    <x v="0"/>
    <x v="0"/>
    <x v="42"/>
    <s v="Toronto, Ontario, Canada . Montreal, Quebec, Canada . Hybrid"/>
    <s v="8 days ago"/>
    <s v="Toronto, ON, CA"/>
    <s v="Finance"/>
    <s v="Public"/>
    <x v="41"/>
    <s v="['machine learning', 'r', 'python']"/>
  </r>
  <r>
    <x v="0"/>
    <x v="0"/>
    <x v="0"/>
    <x v="43"/>
    <s v="New York, NY . Hybrid"/>
    <s v="6 days ago"/>
    <s v="San Francisco, CA, US"/>
    <s v="Technology"/>
    <s v="Public"/>
    <x v="42"/>
    <s v="['amazon', 'aws']"/>
  </r>
  <r>
    <x v="0"/>
    <x v="0"/>
    <x v="1"/>
    <x v="44"/>
    <s v="On-site"/>
    <s v="14 days ago"/>
    <s v="Cary, NC, US"/>
    <s v="Technology"/>
    <s v="Private"/>
    <x v="43"/>
    <s v="['amazon', 'aws']"/>
  </r>
  <r>
    <x v="0"/>
    <x v="0"/>
    <x v="1"/>
    <x v="45"/>
    <s v="New York, NY"/>
    <s v="8 days ago"/>
    <s v="Washington, DC, US"/>
    <s v="Finance"/>
    <s v="Public"/>
    <x v="44"/>
    <s v="['aws', 'git', 'python', 'sql', 'machine learning']"/>
  </r>
  <r>
    <x v="1"/>
    <x v="0"/>
    <x v="1"/>
    <x v="26"/>
    <s v="Seattle, WA"/>
    <s v="15 days ago"/>
    <s v="Kent, WA, US"/>
    <s v="Technology"/>
    <s v="Private"/>
    <x v="45"/>
    <s v="['pandas', 'pytorch', 'aws', 'python', 'docker', 'machine learning', 'kubernetes', 'deep learning', 'azure', 'tensorflow']"/>
  </r>
  <r>
    <x v="0"/>
    <x v="0"/>
    <x v="0"/>
    <x v="46"/>
    <s v="McLean, VA . Hybrid"/>
    <s v="8 days ago"/>
    <s v="Toronto, ON, CA"/>
    <s v="Technology"/>
    <s v="Public"/>
    <x v="46"/>
    <s v="['java', 'machine learning', 'r', 'python']"/>
  </r>
  <r>
    <x v="0"/>
    <x v="1"/>
    <x v="1"/>
    <x v="47"/>
    <s v="Seattle, Washington, United States . On-site"/>
    <s v="12 days ago"/>
    <s v="Seattle, WA, US"/>
    <s v="Technology"/>
    <s v="Private"/>
    <x v="47"/>
    <s v="['amazon', 'aws']"/>
  </r>
  <r>
    <x v="0"/>
    <x v="0"/>
    <x v="1"/>
    <x v="48"/>
    <s v="Warsaw, Mazowieckie, Poland . Prague, Prague, Czechia . Kyiv, Kyiv City, Ukraine"/>
    <s v="3 months ago"/>
    <s v="Seattle, WA, US"/>
    <s v="Technology"/>
    <s v="Private"/>
    <x v="48"/>
    <s v="['pandas', 'pytorch', 'r', 'python', 'machine learning', 'tensorflow']"/>
  </r>
  <r>
    <x v="0"/>
    <x v="0"/>
    <x v="1"/>
    <x v="49"/>
    <s v="On-site"/>
    <s v="3 months ago"/>
    <s v="Sunnyvale, CA, US"/>
    <s v="Technology"/>
    <s v="Private"/>
    <x v="49"/>
    <s v="['amazon', 'aws']"/>
  </r>
  <r>
    <x v="0"/>
    <x v="0"/>
    <x v="1"/>
    <x v="50"/>
    <s v="San Francisco, California, United States . On-site"/>
    <s v="20 days ago"/>
    <s v="San Francisco, CA, US"/>
    <s v="Finance"/>
    <s v="Private"/>
    <x v="50"/>
    <s v="['amazon', 'aws']"/>
  </r>
  <r>
    <x v="0"/>
    <x v="0"/>
    <x v="1"/>
    <x v="51"/>
    <s v="Bangalore, Karnataka"/>
    <s v="5 months ago"/>
    <s v="Bengaluru, KA, IN"/>
    <s v="Technology"/>
    <s v="Private"/>
    <x v="51"/>
    <s v="['amazon', 'aws']"/>
  </r>
  <r>
    <x v="0"/>
    <x v="0"/>
    <x v="0"/>
    <x v="52"/>
    <s v="Toronto, Ontario, Canada . Hybrid"/>
    <s v="7 days ago"/>
    <s v="Calgary, AB, CA"/>
    <s v="Technology"/>
    <s v="Public"/>
    <x v="52"/>
    <s v="['sql', 'tableau', 'python']"/>
  </r>
  <r>
    <x v="0"/>
    <x v="0"/>
    <x v="1"/>
    <x v="53"/>
    <s v="Rock Island, IL . On-site"/>
    <s v="3 months ago"/>
    <s v="Hook, GB"/>
    <s v="Technology"/>
    <s v="Public"/>
    <x v="53"/>
    <s v="['scikit-learn', 'r', 'python', 'java', 'machine learning']"/>
  </r>
  <r>
    <x v="0"/>
    <x v="3"/>
    <x v="1"/>
    <x v="54"/>
    <s v="Cambridge, England, United Kingdom"/>
    <s v="8 days ago"/>
    <s v="Cambridge, GB"/>
    <s v="Education"/>
    <s v="Public"/>
    <x v="54"/>
    <s v="['amazon', 'aws']"/>
  </r>
  <r>
    <x v="0"/>
    <x v="3"/>
    <x v="2"/>
    <x v="55"/>
    <s v="Oregon, United States . Fully Remote"/>
    <s v="4 days ago"/>
    <s v="Beaverton, OR, US"/>
    <s v="Manufacturing"/>
    <s v="Public"/>
    <x v="55"/>
    <s v="['pandas', 'powerbi', 'r', 'python', 'sql', 'neural network', 'machine learning', 'deep learning', 'tableau']"/>
  </r>
  <r>
    <x v="1"/>
    <x v="0"/>
    <x v="1"/>
    <x v="56"/>
    <s v="Pune, Maharashtra, India"/>
    <s v="4 days ago"/>
    <s v="KÃ¸benhavn, DK"/>
    <s v="Logistics"/>
    <s v="Private"/>
    <x v="56"/>
    <s v="['spark', 'aws', 'powerbi', 'python', 'docker', 'sql', 'machine learning', 'gcp', 'kubernetes', 'deep learning', 'azure']"/>
  </r>
  <r>
    <x v="0"/>
    <x v="0"/>
    <x v="1"/>
    <x v="45"/>
    <s v="Denver, CO"/>
    <s v="8 days ago"/>
    <s v="Washington, DC, US"/>
    <s v="Finance"/>
    <s v="Public"/>
    <x v="57"/>
    <s v="['aws', 'git', 'python', 'sql', 'machine learning']"/>
  </r>
  <r>
    <x v="0"/>
    <x v="0"/>
    <x v="1"/>
    <x v="57"/>
    <s v="San Francisco, California, United States . On-site"/>
    <s v="a month ago"/>
    <s v="San Francisco, CA, US"/>
    <s v="Technology"/>
    <s v="Private"/>
    <x v="58"/>
    <s v="['amazon', 'aws']"/>
  </r>
  <r>
    <x v="0"/>
    <x v="1"/>
    <x v="1"/>
    <x v="58"/>
    <s v="Charlotte, NC"/>
    <s v="8 days ago"/>
    <s v="Mooresville, NC, US"/>
    <s v="Retail"/>
    <s v="Public"/>
    <x v="59"/>
    <s v="['sql', 'deep learning', 'machine learning']"/>
  </r>
  <r>
    <x v="0"/>
    <x v="0"/>
    <x v="0"/>
    <x v="59"/>
    <s v="Bengaluru, Karnataka, India . Hybrid"/>
    <s v="a month ago"/>
    <s v="Frankfurt am Main, HE, DE"/>
    <s v="Finance"/>
    <s v="Public"/>
    <x v="60"/>
    <s v="['pytorch', 'aws', 'python', 'sql', 'gcp', 'azure', 'tensorflow']"/>
  </r>
  <r>
    <x v="0"/>
    <x v="0"/>
    <x v="1"/>
    <x v="60"/>
    <s v="Chennai, Tamil Nadu, India"/>
    <s v="2 days ago"/>
    <s v="Dearborn, MI, US"/>
    <s v="Technology"/>
    <s v="Public"/>
    <x v="61"/>
    <s v="['pandas', 'numpy', 'pytorch', 'powerbi', 'git', 'scikit-learn', 'python', 'java', 'sql', 'neural network', 'gcp', 'machine learning', 'matplotlib', 'tensorflow']"/>
  </r>
  <r>
    <x v="0"/>
    <x v="0"/>
    <x v="1"/>
    <x v="61"/>
    <s v="Menlo Park, CA . On-site"/>
    <s v="15 days ago"/>
    <s v="West Menlo Park, CA, US"/>
    <s v="Finance"/>
    <s v="Public"/>
    <x v="45"/>
    <s v="['amazon', 'aws']"/>
  </r>
  <r>
    <x v="0"/>
    <x v="3"/>
    <x v="1"/>
    <x v="6"/>
    <s v="Berkeley, CA"/>
    <s v="15 days ago"/>
    <s v="Berkeley, CA, US"/>
    <s v="Education"/>
    <s v="Public"/>
    <x v="62"/>
    <s v="['machine learning', 'database']"/>
  </r>
  <r>
    <x v="0"/>
    <x v="0"/>
    <x v="2"/>
    <x v="62"/>
    <s v="Remote, United States . Fully Remote"/>
    <s v="a month ago"/>
    <s v="San Francisco, CA, US"/>
    <s v="Technology"/>
    <s v="Private"/>
    <x v="63"/>
    <s v="['amazon', 'aws']"/>
  </r>
  <r>
    <x v="0"/>
    <x v="0"/>
    <x v="1"/>
    <x v="53"/>
    <s v="Rock Island, IL . On-site"/>
    <s v="3 months ago"/>
    <s v="Hook, GB"/>
    <s v="Technology"/>
    <s v="Public"/>
    <x v="64"/>
    <s v="['scikit-learn', 'r', 'python', 'java', 'machine learning']"/>
  </r>
  <r>
    <x v="0"/>
    <x v="0"/>
    <x v="2"/>
    <x v="36"/>
    <s v="San Francisco, CA, US . Remote, US . Fully Remote"/>
    <s v="4 days ago"/>
    <s v="San Francisco, CA, US"/>
    <s v="Technology"/>
    <s v="Public"/>
    <x v="65"/>
    <s v="['amazon', 'aws']"/>
  </r>
  <r>
    <x v="0"/>
    <x v="0"/>
    <x v="1"/>
    <x v="63"/>
    <s v="United States"/>
    <s v="15 days ago"/>
    <s v="San Francisco, CA, US"/>
    <s v="Finance"/>
    <s v="Private"/>
    <x v="66"/>
    <s v="['amazon', 'aws']"/>
  </r>
  <r>
    <x v="0"/>
    <x v="0"/>
    <x v="2"/>
    <x v="9"/>
    <s v="Fully Remote"/>
    <s v="a day ago"/>
    <s v="San Francisco, CA, US"/>
    <s v="Technology"/>
    <s v="Public"/>
    <x v="67"/>
    <s v="['amazon', 'aws']"/>
  </r>
  <r>
    <x v="0"/>
    <x v="0"/>
    <x v="2"/>
    <x v="64"/>
    <s v="Fully Remote"/>
    <s v="8 days ago"/>
    <s v="New York, NY, US"/>
    <s v="Finance"/>
    <s v="Private"/>
    <x v="14"/>
    <s v="['amazon', 'aws']"/>
  </r>
  <r>
    <x v="0"/>
    <x v="0"/>
    <x v="1"/>
    <x v="10"/>
    <s v="Pittsburgh, PA"/>
    <s v="7 days ago"/>
    <s v="Charlotte, NC, US"/>
    <s v="Technology"/>
    <s v="Public"/>
    <x v="68"/>
    <s v="['python', 'java', 'sql', 'kubernetes', 'azure']"/>
  </r>
  <r>
    <x v="0"/>
    <x v="0"/>
    <x v="1"/>
    <x v="65"/>
    <s v="Seattle, WA . Seattle, Washington, Ã‰tats-Unis . Seattle, Washington, USA"/>
    <s v="a month ago"/>
    <s v="Seattle, WA, US"/>
    <s v="Retail"/>
    <s v="Public"/>
    <x v="69"/>
    <s v="['amazon', 'r', 'python', 'machine learning', 'deep learning']"/>
  </r>
  <r>
    <x v="1"/>
    <x v="0"/>
    <x v="1"/>
    <x v="66"/>
    <s v="Taipei, Taiwan . On-site"/>
    <s v="a day ago"/>
    <s v="TW"/>
    <s v="Technology"/>
    <s v="Private"/>
    <x v="70"/>
    <s v="['amazon', 'aws']"/>
  </r>
  <r>
    <x v="0"/>
    <x v="0"/>
    <x v="0"/>
    <x v="67"/>
    <s v="Denver, CO . Hybrid"/>
    <s v="a month ago"/>
    <s v="Denver, CO, US"/>
    <s v="Technology"/>
    <s v="Private"/>
    <x v="7"/>
    <s v="['spark', 'r', 'python', 'database', 'machine learning']"/>
  </r>
  <r>
    <x v="0"/>
    <x v="0"/>
    <x v="2"/>
    <x v="68"/>
    <s v="Fort Worth, TX"/>
    <s v="a month ago"/>
    <s v="Bethesda, MD, US"/>
    <s v="Technology"/>
    <s v="Public"/>
    <x v="71"/>
    <s v="['machine learning']"/>
  </r>
  <r>
    <x v="0"/>
    <x v="0"/>
    <x v="0"/>
    <x v="69"/>
    <s v="Austin, Texas . Hybrid"/>
    <s v="a day ago"/>
    <s v="San Jose, CA, US"/>
    <s v="Technology"/>
    <s v="Public"/>
    <x v="72"/>
    <s v="['amazon', 'aws']"/>
  </r>
  <r>
    <x v="0"/>
    <x v="0"/>
    <x v="0"/>
    <x v="70"/>
    <s v="Toronto, ON . Hybrid"/>
    <s v="11 days ago"/>
    <s v="San Francisco, CA, US"/>
    <s v="Finance"/>
    <s v="Private"/>
    <x v="73"/>
    <s v="['amazon', 'aws']"/>
  </r>
  <r>
    <x v="0"/>
    <x v="0"/>
    <x v="1"/>
    <x v="71"/>
    <s v="Orlando, FL"/>
    <s v="5 days ago"/>
    <s v="Charlotte, NC, US"/>
    <s v="Finance"/>
    <s v="Public"/>
    <x v="74"/>
    <s v="['spark', 'r', 'python', 'sql', 'hadoop', 'machine learning']"/>
  </r>
  <r>
    <x v="0"/>
    <x v="0"/>
    <x v="1"/>
    <x v="72"/>
    <s v="United States"/>
    <s v="15 days ago"/>
    <s v="San Jose, CA, US"/>
    <s v="Technology"/>
    <s v="Private"/>
    <x v="7"/>
    <s v="['pytorch', 'spark', 'aws', 'scikit-learn', 'python', 'docker', 'deep learning', 'java', 'sql', 'machine learning', 'gcp', 'kubernetes', 'hadoop', 'azure', 'tensorflow']"/>
  </r>
  <r>
    <x v="0"/>
    <x v="1"/>
    <x v="2"/>
    <x v="73"/>
    <s v="All, MO"/>
    <s v="15 days ago"/>
    <s v="Chicago, IL, US"/>
    <s v="Technology"/>
    <s v="Public"/>
    <x v="75"/>
    <s v="['aws', 'scikit-learn', 'python', 'sql', 'machine learning', 'tensorflow']"/>
  </r>
  <r>
    <x v="1"/>
    <x v="0"/>
    <x v="1"/>
    <x v="74"/>
    <s v="Mountain View, California (HQ) . On-site"/>
    <s v="8 days ago"/>
    <s v="Mountain View, CA, US"/>
    <s v="Technology"/>
    <s v="Private"/>
    <x v="7"/>
    <s v="['amazon', 'aws']"/>
  </r>
  <r>
    <x v="0"/>
    <x v="0"/>
    <x v="1"/>
    <x v="75"/>
    <s v="Reston, VA"/>
    <s v="4 days ago"/>
    <s v="Falls Church, VA, US"/>
    <s v="Technology"/>
    <s v="Private"/>
    <x v="76"/>
    <s v="['aws', 'git', 'python', 'java', 'kubernetes', 'machine learning']"/>
  </r>
  <r>
    <x v="0"/>
    <x v="0"/>
    <x v="2"/>
    <x v="76"/>
    <s v="Fully Remote"/>
    <s v="2 months ago"/>
    <s v="Roseville, CA, US"/>
    <s v="Technology"/>
    <s v="Private"/>
    <x v="7"/>
    <s v="['amazon', 'aws']"/>
  </r>
  <r>
    <x v="0"/>
    <x v="0"/>
    <x v="0"/>
    <x v="77"/>
    <s v="Redwood City, US, California . Hybrid"/>
    <s v="2 months ago"/>
    <s v="MÃ¼nchen, BY, DE"/>
    <s v="Technology"/>
    <s v="Private"/>
    <x v="77"/>
    <s v="['amazon', 'aws']"/>
  </r>
  <r>
    <x v="0"/>
    <x v="0"/>
    <x v="1"/>
    <x v="78"/>
    <s v="Veldhoven, North Brabant, Netherlands . On-site"/>
    <s v="21 days ago"/>
    <s v="Veldhoven, NB, NL"/>
    <s v="Technology"/>
    <s v="Public"/>
    <x v="78"/>
    <s v="['r']"/>
  </r>
  <r>
    <x v="0"/>
    <x v="0"/>
    <x v="2"/>
    <x v="79"/>
    <s v="Fully Remote"/>
    <s v="4 days ago"/>
    <s v="San Francisco, CA, US"/>
    <s v="Technology"/>
    <s v="Public"/>
    <x v="79"/>
    <s v="['amazon', 'aws']"/>
  </r>
  <r>
    <x v="0"/>
    <x v="0"/>
    <x v="1"/>
    <x v="80"/>
    <s v="Ridgefield, CT"/>
    <s v="10 days ago"/>
    <s v="Ingelheim am Rhein, RP, DE"/>
    <s v="Technology"/>
    <s v="Public"/>
    <x v="80"/>
    <s v="['pytorch', 'git', 'scikit-learn', 'python', 'docker', 'kubernetes', 'machine learning', 'tensorflow']"/>
  </r>
  <r>
    <x v="0"/>
    <x v="0"/>
    <x v="1"/>
    <x v="81"/>
    <s v="Pune, Maharashtra, India"/>
    <s v="15 days ago"/>
    <s v="Armonk, NY, US"/>
    <s v="Technology"/>
    <s v="Public"/>
    <x v="81"/>
    <s v="['pandas', 'pytorch', 'r', 'python', 'java', 'database', 'keras', 'machine learning', 'matplotlib', 'tensorflow']"/>
  </r>
  <r>
    <x v="0"/>
    <x v="0"/>
    <x v="1"/>
    <x v="82"/>
    <s v="San Mateo, CA . On-site"/>
    <s v="a month ago"/>
    <s v="Burlingame, CA, US"/>
    <s v="Technology"/>
    <s v="Private"/>
    <x v="8"/>
    <s v="['amazon', 'aws']"/>
  </r>
  <r>
    <x v="0"/>
    <x v="0"/>
    <x v="1"/>
    <x v="83"/>
    <s v="On-site"/>
    <s v="11 days ago"/>
    <s v="Mountain View, CA, US"/>
    <s v="Technology"/>
    <s v="Public"/>
    <x v="82"/>
    <s v="['amazon', 'aws']"/>
  </r>
  <r>
    <x v="0"/>
    <x v="0"/>
    <x v="1"/>
    <x v="84"/>
    <s v="Omaha, NE . Newport Beach, CA . Massachusetts, United States"/>
    <s v="a month ago"/>
    <s v="Newport Beach, CA, US"/>
    <s v="Finance"/>
    <s v="Public"/>
    <x v="83"/>
    <s v="['scikit-learn', 'python', 'sql', 'machine learning', 'tensorflow']"/>
  </r>
  <r>
    <x v="0"/>
    <x v="0"/>
    <x v="1"/>
    <x v="85"/>
    <s v="Torrance, CA"/>
    <s v="3 days ago"/>
    <s v="Torrance, CA, US"/>
    <s v="Technology"/>
    <s v="Public"/>
    <x v="84"/>
    <s v="['spark', 'r', 'python', 'hadoop', 'machine learning']"/>
  </r>
  <r>
    <x v="0"/>
    <x v="0"/>
    <x v="0"/>
    <x v="86"/>
    <s v="Los Angeles, CA . United States . San Francisco, CA . Hybrid"/>
    <s v="20 days ago"/>
    <s v="Collingwood, VIC, AU"/>
    <s v="Technology"/>
    <s v="Private"/>
    <x v="5"/>
    <s v="['amazon']"/>
  </r>
  <r>
    <x v="0"/>
    <x v="3"/>
    <x v="2"/>
    <x v="87"/>
    <s v="San Francisco, CA"/>
    <s v="8 days ago"/>
    <s v="San Francisco, CA, US"/>
    <s v="Technology"/>
    <s v="Public"/>
    <x v="63"/>
    <s v="['tableau', 'sql', 'r', 'python']"/>
  </r>
  <r>
    <x v="0"/>
    <x v="0"/>
    <x v="0"/>
    <x v="88"/>
    <s v="Navi Mumbai, Maharashtra, India . Hybrid"/>
    <s v="a month ago"/>
    <s v="Chicago, IL, US"/>
    <s v="Finance"/>
    <s v="Public"/>
    <x v="85"/>
    <s v="['pandas', 'numpy', 'pytorch', 'scikit-learn', 'python', 'docker', 'scipy', 'sql', 'machine learning', 'deep learning', 'matplotlib', 'tensorflow']"/>
  </r>
  <r>
    <x v="0"/>
    <x v="0"/>
    <x v="0"/>
    <x v="89"/>
    <s v="Tallinn, Harjumaa, Estonia . Hybrid"/>
    <s v="15 days ago"/>
    <s v="Tallinn, EE"/>
    <s v="Technology"/>
    <s v="Private"/>
    <x v="86"/>
    <s v="['pandas', 'numpy', 'spark', 'aws', 'scikit-learn', 'python', 'docker', 'airflow', 'sql', 'machine learning', 'deep learning']"/>
  </r>
  <r>
    <x v="0"/>
    <x v="0"/>
    <x v="1"/>
    <x v="90"/>
    <s v="New York, NY"/>
    <s v="8 days ago"/>
    <s v="New York, NY, US"/>
    <s v="Retail"/>
    <s v="Public"/>
    <x v="87"/>
    <s v="['machine learning']"/>
  </r>
  <r>
    <x v="0"/>
    <x v="0"/>
    <x v="2"/>
    <x v="91"/>
    <s v="Fairfax, VA"/>
    <s v="2 months ago"/>
    <s v="Falls Church, VA, US"/>
    <s v="Technology"/>
    <s v="Public"/>
    <x v="88"/>
    <s v="['pytorch', 'git', 'python', 'machine learning', 'keras', 'deep learning', 'tensorflow']"/>
  </r>
  <r>
    <x v="0"/>
    <x v="0"/>
    <x v="0"/>
    <x v="92"/>
    <s v="New York, NY . Hybrid"/>
    <s v="8 days ago"/>
    <s v="New York, NY, US"/>
    <s v="Technology"/>
    <s v="Public"/>
    <x v="89"/>
    <s v="['database', 'sql', 'aws', 'python']"/>
  </r>
  <r>
    <x v="0"/>
    <x v="3"/>
    <x v="2"/>
    <x v="93"/>
    <s v="United States"/>
    <s v="a month ago"/>
    <s v="NY, US"/>
    <s v="Technology"/>
    <s v="Private"/>
    <x v="90"/>
    <s v="['amazon', 'spark', 'python', 'airflow', 'machine learning']"/>
  </r>
  <r>
    <x v="0"/>
    <x v="0"/>
    <x v="1"/>
    <x v="94"/>
    <s v="Phoenix, AZ"/>
    <s v="3 days ago"/>
    <s v="Phoenix, AZ, US"/>
    <s v="Energy"/>
    <s v="Public"/>
    <x v="91"/>
    <s v="['powerbi', 'aws', 'r', 'python', 'sql', 'machine learning']"/>
  </r>
  <r>
    <x v="0"/>
    <x v="0"/>
    <x v="0"/>
    <x v="95"/>
    <s v="Hybrid"/>
    <s v="7 months ago"/>
    <s v="San Francisco, CA, US"/>
    <s v="Finance"/>
    <s v="Private"/>
    <x v="92"/>
    <s v="['amazon', 'aws']"/>
  </r>
  <r>
    <x v="0"/>
    <x v="0"/>
    <x v="1"/>
    <x v="96"/>
    <s v="Bengaluru, Karnataka, India . On-site"/>
    <s v="22 days ago"/>
    <s v="Palo Alto, CA, US"/>
    <s v="Technology"/>
    <s v="Private"/>
    <x v="93"/>
    <s v="['amazon', 'aws']"/>
  </r>
  <r>
    <x v="0"/>
    <x v="1"/>
    <x v="0"/>
    <x v="97"/>
    <s v="Austin, TX . Hybrid"/>
    <s v="15 days ago"/>
    <s v="Toronto, ON, CA"/>
    <s v="Technology"/>
    <s v="Public"/>
    <x v="94"/>
    <s v="['java', 'sql', 'python']"/>
  </r>
  <r>
    <x v="0"/>
    <x v="1"/>
    <x v="0"/>
    <x v="98"/>
    <s v="Cincinnati, OH . Chicago, IL . Hybrid"/>
    <s v="a day ago"/>
    <s v="Cincinnati, OH, US"/>
    <s v="Technology"/>
    <s v="Private"/>
    <x v="95"/>
    <s v="['amazon', 'aws']"/>
  </r>
  <r>
    <x v="0"/>
    <x v="0"/>
    <x v="1"/>
    <x v="99"/>
    <s v="Manassas, VA"/>
    <s v="14 days ago"/>
    <s v="Boise, ID, US"/>
    <s v="Technology"/>
    <s v="Public"/>
    <x v="96"/>
    <s v="['aws', 'python', 'linux', 'sql', 'gcp', 'hadoop']"/>
  </r>
  <r>
    <x v="0"/>
    <x v="0"/>
    <x v="2"/>
    <x v="100"/>
    <s v="Bengaluru, Karnataka, India"/>
    <s v="8 days ago"/>
    <s v="New York, NY, US"/>
    <s v="Technology"/>
    <s v="Private"/>
    <x v="97"/>
    <s v="['spark', 'aws', 'python', 'sql', 'gcp', 'deep learning', 'tensorflow', 'tableau']"/>
  </r>
  <r>
    <x v="2"/>
    <x v="3"/>
    <x v="2"/>
    <x v="101"/>
    <s v="Eindhoven, North Brabant, Netherlands"/>
    <s v="15 days ago"/>
    <s v="Amsterdam, NH, NL"/>
    <s v="Healthcare"/>
    <s v="Public"/>
    <x v="98"/>
    <s v="['python']"/>
  </r>
  <r>
    <x v="0"/>
    <x v="0"/>
    <x v="2"/>
    <x v="102"/>
    <s v="Cincinnati, OH"/>
    <s v="5 days ago"/>
    <s v="Boston, MA, US"/>
    <s v="Technology"/>
    <s v="Public"/>
    <x v="99"/>
    <s v="['azure', 'aws', 'machine learning', 'python']"/>
  </r>
  <r>
    <x v="1"/>
    <x v="0"/>
    <x v="1"/>
    <x v="103"/>
    <s v="San Francisco, CA . Seattle, WA . New York, NY . On-site"/>
    <s v="13 days ago"/>
    <s v="San Francisco, CA, US"/>
    <s v="Technology"/>
    <s v="Private"/>
    <x v="100"/>
    <s v="['amazon', 'aws']"/>
  </r>
  <r>
    <x v="0"/>
    <x v="1"/>
    <x v="0"/>
    <x v="104"/>
    <s v="Bengaluru, Karnataka, India . Hybrid"/>
    <s v="8 days ago"/>
    <s v="New York, NY, US"/>
    <s v="Technology"/>
    <s v="Private"/>
    <x v="7"/>
    <s v="['spark', 'r', 'python', 'java', 'sql', 'machine learning']"/>
  </r>
  <r>
    <x v="0"/>
    <x v="0"/>
    <x v="2"/>
    <x v="105"/>
    <s v="Raleigh-Durham-Chapel Hill Area"/>
    <s v="2 days ago"/>
    <s v="New York, NY, US"/>
    <s v="Technology"/>
    <s v="Public"/>
    <x v="101"/>
    <s v="['spark', 'aws', 'r', 'python', 'machine learning', 'hadoop', 'deep learning']"/>
  </r>
  <r>
    <x v="0"/>
    <x v="0"/>
    <x v="0"/>
    <x v="46"/>
    <s v="McLean, VA . Hybrid"/>
    <s v="5 days ago"/>
    <s v="Toronto, ON, CA"/>
    <s v="Technology"/>
    <s v="Public"/>
    <x v="102"/>
    <s v="['java', 'machine learning', 'r', 'python']"/>
  </r>
  <r>
    <x v="0"/>
    <x v="0"/>
    <x v="2"/>
    <x v="106"/>
    <s v="Fully Remote"/>
    <s v="7 days ago"/>
    <s v="San Francisco, CA, US"/>
    <s v="Retail"/>
    <s v="Private"/>
    <x v="103"/>
    <s v="['amazon', 'aws']"/>
  </r>
  <r>
    <x v="0"/>
    <x v="0"/>
    <x v="1"/>
    <x v="107"/>
    <s v="Rochester, New York Metropolitan Area"/>
    <s v="22 days ago"/>
    <s v="Rochester, NY, US"/>
    <s v="Education"/>
    <s v="Public"/>
    <x v="104"/>
    <s v="['deep learning', 'machine learning']"/>
  </r>
  <r>
    <x v="0"/>
    <x v="0"/>
    <x v="1"/>
    <x v="108"/>
    <s v="Denver, CO"/>
    <s v="15 days ago"/>
    <s v="Denver, CO, US"/>
    <s v="Healthcare"/>
    <s v="Public"/>
    <x v="105"/>
    <s v="['pytorch', 'aws', 'r', 'python', 'docker', 'scikit-learn', 'sql', 'machine learning', 'gcp', 'deep learning', 'azure', 'tensorflow']"/>
  </r>
  <r>
    <x v="0"/>
    <x v="0"/>
    <x v="0"/>
    <x v="29"/>
    <s v="Greater SÃ£o Paulo Area . Hybrid"/>
    <s v="22 days ago"/>
    <s v="San Francisco, CA, US"/>
    <s v="Technology"/>
    <s v="Public"/>
    <x v="106"/>
    <s v="['sql', 'r', 'python']"/>
  </r>
  <r>
    <x v="0"/>
    <x v="3"/>
    <x v="1"/>
    <x v="109"/>
    <s v="Mettawa, IL"/>
    <s v="6 days ago"/>
    <s v="North Chicago, IL, US"/>
    <s v="Healthcare"/>
    <s v="Public"/>
    <x v="107"/>
    <s v="['amazon', 'aws']"/>
  </r>
  <r>
    <x v="0"/>
    <x v="0"/>
    <x v="1"/>
    <x v="110"/>
    <s v="South San Francisco, CA . On-site"/>
    <s v="25 days ago"/>
    <s v="Kenilworth, NJ, US"/>
    <s v="Healthcare"/>
    <s v="Public"/>
    <x v="108"/>
    <s v="['machine learning', 'r', 'python']"/>
  </r>
  <r>
    <x v="0"/>
    <x v="0"/>
    <x v="2"/>
    <x v="111"/>
    <s v="United States"/>
    <s v="5 days ago"/>
    <s v="Reston, VA, US"/>
    <s v="Technology"/>
    <s v="Public"/>
    <x v="109"/>
    <s v="['machine learning', 'r', 'python']"/>
  </r>
  <r>
    <x v="0"/>
    <x v="1"/>
    <x v="1"/>
    <x v="112"/>
    <s v="San Antonio, TX"/>
    <s v="15 days ago"/>
    <s v="San Antonio, TX, US"/>
    <s v="Finance"/>
    <s v="Private"/>
    <x v="110"/>
    <s v="['spark', 'r', 'python', 'sql', 'machine learning', 'hadoop', 'deep learning']"/>
  </r>
  <r>
    <x v="0"/>
    <x v="0"/>
    <x v="2"/>
    <x v="113"/>
    <s v="United States . Fully Remote"/>
    <s v="a day ago"/>
    <s v="Miami, FL, US"/>
    <s v="Technology"/>
    <s v="Private"/>
    <x v="66"/>
    <s v="['sql', 'machine learning', 'tableau', 'python']"/>
  </r>
  <r>
    <x v="0"/>
    <x v="0"/>
    <x v="2"/>
    <x v="19"/>
    <s v="Mississauga, Ontario, Canada"/>
    <s v="5 days ago"/>
    <s v="BS, CH"/>
    <s v="Healthcare"/>
    <s v="Public"/>
    <x v="111"/>
    <s v="['gcp', 'git', 'r']"/>
  </r>
  <r>
    <x v="0"/>
    <x v="0"/>
    <x v="0"/>
    <x v="114"/>
    <s v="Manchester, England, United Kingdom . Hybrid"/>
    <s v="2 months ago"/>
    <s v="London, GB"/>
    <s v="Technology"/>
    <s v="Private"/>
    <x v="93"/>
    <s v="['pytorch', 'aws', 'scikit-learn', 'scipy', 'machine learning', 'gcp', 'azure', 'tensorflow']"/>
  </r>
  <r>
    <x v="0"/>
    <x v="0"/>
    <x v="1"/>
    <x v="115"/>
    <s v="Bowie, MD . On-site"/>
    <s v="8 days ago"/>
    <s v="Bowie, MD, US"/>
    <s v="Technology"/>
    <s v="Public"/>
    <x v="112"/>
    <s v="['amazon', 'aws']"/>
  </r>
  <r>
    <x v="0"/>
    <x v="0"/>
    <x v="1"/>
    <x v="116"/>
    <s v="Plano, TX . On-site"/>
    <s v="15 days ago"/>
    <s v="New York, NY, US"/>
    <s v="Finance"/>
    <s v="Public"/>
    <x v="113"/>
    <s v="['pytorch', 'machine learning', 'tensorflow', 'python']"/>
  </r>
  <r>
    <x v="0"/>
    <x v="3"/>
    <x v="2"/>
    <x v="117"/>
    <s v="Arlington, VA"/>
    <s v="8 days ago"/>
    <s v="New York, NY, US"/>
    <s v="Finance"/>
    <s v="Private"/>
    <x v="114"/>
    <s v="['spark', 'python', 'docker', 'java', 'sql', 'machine learning', 'kubernetes', 'hadoop', 'deep learning']"/>
  </r>
  <r>
    <x v="0"/>
    <x v="1"/>
    <x v="2"/>
    <x v="118"/>
    <s v="New York, NY"/>
    <s v="4 days ago"/>
    <s v="Paris, FR"/>
    <s v="Healthcare"/>
    <s v="Private"/>
    <x v="115"/>
    <s v="['powerbi', 'r', 'python', 'scikit-learn', 'sql', 'machine learning', 'tensorflow', 'tableau']"/>
  </r>
  <r>
    <x v="0"/>
    <x v="1"/>
    <x v="0"/>
    <x v="119"/>
    <s v="San Francisco, CA . Hybrid"/>
    <s v="5 days ago"/>
    <s v="San Francisco, CA, US"/>
    <s v="Healthcare"/>
    <s v="Private"/>
    <x v="116"/>
    <s v="['amazon', 'aws']"/>
  </r>
  <r>
    <x v="0"/>
    <x v="0"/>
    <x v="2"/>
    <x v="120"/>
    <s v="Chicago, IL"/>
    <s v="9 days ago"/>
    <s v="South Bend, IN, US"/>
    <s v="Healthcare"/>
    <s v="Public"/>
    <x v="117"/>
    <s v="['powerbi', 'r', 'python', 'sql', 'database', 'hadoop', 'tableau']"/>
  </r>
  <r>
    <x v="0"/>
    <x v="0"/>
    <x v="1"/>
    <x v="121"/>
    <s v="Charlotte, NC . On-site"/>
    <s v="8 days ago"/>
    <s v="Fort Mill, SC, US"/>
    <s v="Technology"/>
    <s v="Private"/>
    <x v="118"/>
    <s v="['amazon', 'aws']"/>
  </r>
  <r>
    <x v="0"/>
    <x v="0"/>
    <x v="1"/>
    <x v="122"/>
    <s v="San Francisco, CA . On-site"/>
    <s v="4 days ago"/>
    <s v="San Francisco, CA, US"/>
    <s v="Technology"/>
    <s v="Private"/>
    <x v="5"/>
    <s v="['sql', 'machine learning', 'r', 'python']"/>
  </r>
  <r>
    <x v="0"/>
    <x v="0"/>
    <x v="0"/>
    <x v="123"/>
    <s v="Foster City, CA . Hybrid"/>
    <s v="6 days ago"/>
    <s v="Foster City, CA, US"/>
    <s v="Finance"/>
    <s v="Public"/>
    <x v="119"/>
    <s v="['pytorch', 'spark', 'r', 'python', 'scikit-learn', 'machine learning', 'deep learning', 'tensorflow']"/>
  </r>
  <r>
    <x v="1"/>
    <x v="0"/>
    <x v="0"/>
    <x v="2"/>
    <s v="Vancouver, British Columbia, Canada . Hybrid"/>
    <s v="a month ago"/>
    <s v="Redwood City, CA, US"/>
    <s v="Technology"/>
    <s v="Public"/>
    <x v="120"/>
    <s v="['pytorch', 'machine learning', 'tensorflow', 'python']"/>
  </r>
  <r>
    <x v="0"/>
    <x v="0"/>
    <x v="1"/>
    <x v="124"/>
    <s v="Alameda, CA"/>
    <s v="7 days ago"/>
    <s v="Lake Bluff, IL, US"/>
    <s v="Healthcare"/>
    <s v="Public"/>
    <x v="121"/>
    <s v="['spark', 'r', 'python', 'scala', 'linux', 'java', 'hadoop', 'machine learning']"/>
  </r>
  <r>
    <x v="0"/>
    <x v="0"/>
    <x v="2"/>
    <x v="89"/>
    <s v="Berlin, Berlin, Germany"/>
    <s v="8 days ago"/>
    <s v="Tallinn, EE"/>
    <s v="Technology"/>
    <s v="Private"/>
    <x v="25"/>
    <s v="['pandas', 'numpy', 'spark', 'aws', 'scikit-learn', 'python', 'airflow', 'machine learning']"/>
  </r>
  <r>
    <x v="0"/>
    <x v="0"/>
    <x v="2"/>
    <x v="125"/>
    <s v="Singapore, Singapore"/>
    <s v="7 days ago"/>
    <s v="Singapore, SG"/>
    <s v="Finance"/>
    <s v="Public"/>
    <x v="122"/>
    <s v="['pytorch', 'git', 'python', 'machine learning', 'tensorflow']"/>
  </r>
  <r>
    <x v="0"/>
    <x v="0"/>
    <x v="2"/>
    <x v="126"/>
    <s v="Boston, MA . Newark, DE . Tampa, FL . Kennesaw, GA . Plano, TX + 8 More"/>
    <s v="a month ago"/>
    <s v="Charlotte, NC, US"/>
    <s v="Finance"/>
    <s v="Public"/>
    <x v="123"/>
    <s v="['python', 'java', 'sql', 'hadoop', 'machine learning']"/>
  </r>
  <r>
    <x v="0"/>
    <x v="1"/>
    <x v="2"/>
    <x v="127"/>
    <s v="New York, NY"/>
    <s v="2 months ago"/>
    <s v="Woonsocket, RI, US"/>
    <s v="Healthcare"/>
    <s v="Public"/>
    <x v="124"/>
    <s v="['sql', 'python']"/>
  </r>
  <r>
    <x v="0"/>
    <x v="3"/>
    <x v="1"/>
    <x v="110"/>
    <s v="San Diego, CA . On-site"/>
    <s v="5 days ago"/>
    <s v="Kenilworth, NJ, US"/>
    <s v="Healthcare"/>
    <s v="Public"/>
    <x v="125"/>
    <s v="['aws', 'git', 'r', 'python', 'java', 'machine learning', 'database', 'azure', 'matplotlib']"/>
  </r>
  <r>
    <x v="0"/>
    <x v="0"/>
    <x v="1"/>
    <x v="128"/>
    <s v="Redmond, WA"/>
    <s v="a month ago"/>
    <s v="Menlo Park, CA, US"/>
    <s v="Technology"/>
    <s v="Public"/>
    <x v="126"/>
    <s v="['sql', 'machine learning', 'r', 'python']"/>
  </r>
  <r>
    <x v="0"/>
    <x v="1"/>
    <x v="0"/>
    <x v="129"/>
    <s v="Hybrid"/>
    <s v="a month ago"/>
    <s v="Atlanta, GA, US"/>
    <s v="Technology"/>
    <s v="Private"/>
    <x v="127"/>
    <s v="['amazon', 'aws']"/>
  </r>
  <r>
    <x v="0"/>
    <x v="0"/>
    <x v="1"/>
    <x v="130"/>
    <s v="San Francisco, California . On-site"/>
    <s v="8 days ago"/>
    <s v="San Francisco, CA, US"/>
    <s v="Technology"/>
    <s v="Private"/>
    <x v="116"/>
    <s v="['amazon', 'aws']"/>
  </r>
  <r>
    <x v="1"/>
    <x v="0"/>
    <x v="2"/>
    <x v="56"/>
    <s v="Pune, Maharashtra, India"/>
    <s v="2 days ago"/>
    <s v="KÃ¸benhavn, DK"/>
    <s v="Logistics"/>
    <s v="Private"/>
    <x v="128"/>
    <s v="['spark', 'aws', 'powerbi', 'python', 'docker', 'sql', 'machine learning', 'gcp', 'kubernetes', 'deep learning', 'azure']"/>
  </r>
  <r>
    <x v="0"/>
    <x v="3"/>
    <x v="2"/>
    <x v="131"/>
    <s v="Annapolis Junction, MD . Annapolis, MD . Fully Remote"/>
    <s v="a month ago"/>
    <s v="Annapolis, MD, US"/>
    <s v="Technology"/>
    <s v="Private"/>
    <x v="39"/>
    <s v="['linux', 'machine learning', 'python']"/>
  </r>
  <r>
    <x v="0"/>
    <x v="0"/>
    <x v="2"/>
    <x v="132"/>
    <s v="Rosemont, IL"/>
    <s v="5 days ago"/>
    <s v="Rosemont, IL, US"/>
    <s v="Healthcare"/>
    <s v="Public"/>
    <x v="129"/>
    <s v="['git', 'r', 'python', 'bash', 'sql', 'machine learning', 'deep learning']"/>
  </r>
  <r>
    <x v="0"/>
    <x v="1"/>
    <x v="0"/>
    <x v="59"/>
    <s v="New York, NY . Hybrid"/>
    <s v="a month ago"/>
    <s v="Frankfurt am Main, HE, DE"/>
    <s v="Finance"/>
    <s v="Public"/>
    <x v="130"/>
    <s v="['pandas', 'numpy', 'scikit-learn', 'python', 'sql', 'hadoop']"/>
  </r>
  <r>
    <x v="0"/>
    <x v="0"/>
    <x v="2"/>
    <x v="99"/>
    <s v="Hyderabad, Telangana, India"/>
    <s v="10 days ago"/>
    <s v="Boise, ID, US"/>
    <s v="Technology"/>
    <s v="Public"/>
    <x v="131"/>
    <s v="['pytorch', 'r', 'python', 'sql', 'machine learning', 'deep learning', 'tensorflow', 'tableau']"/>
  </r>
  <r>
    <x v="0"/>
    <x v="2"/>
    <x v="2"/>
    <x v="24"/>
    <s v="Bengaluru, Karnataka, India"/>
    <s v="a month ago"/>
    <s v="Bengaluru, KA, IN"/>
    <s v="Technology"/>
    <s v="Public"/>
    <x v="132"/>
    <s v="['deep learning', 'machine learning']"/>
  </r>
  <r>
    <x v="0"/>
    <x v="0"/>
    <x v="1"/>
    <x v="133"/>
    <s v="Chantilly, VA . On-site"/>
    <s v="a month ago"/>
    <s v="Reston, VA, US"/>
    <s v="Technology"/>
    <s v="Public"/>
    <x v="133"/>
    <s v="['aws', 'azure']"/>
  </r>
  <r>
    <x v="0"/>
    <x v="0"/>
    <x v="2"/>
    <x v="134"/>
    <s v="Pune, Maharashtra, India"/>
    <s v="8 days ago"/>
    <s v="London, GB"/>
    <s v="Finance"/>
    <s v="Public"/>
    <x v="134"/>
    <s v="['powerbi', 'aws', 'python', 'sql', 'machine learning', 'tableau']"/>
  </r>
  <r>
    <x v="0"/>
    <x v="0"/>
    <x v="2"/>
    <x v="135"/>
    <s v="Bengaluru, Karnataka, India"/>
    <s v="5 days ago"/>
    <s v="Bengaluru, KA, IN"/>
    <s v="Technology"/>
    <s v="Public"/>
    <x v="135"/>
    <s v="['aws', 'r', 'python', 'sql', 'neural network', 'gcp', 'azure']"/>
  </r>
  <r>
    <x v="0"/>
    <x v="0"/>
    <x v="1"/>
    <x v="68"/>
    <s v="Orlando, FL"/>
    <s v="a month ago"/>
    <s v="Bethesda, MD, US"/>
    <s v="Technology"/>
    <s v="Public"/>
    <x v="136"/>
    <s v="['machine learning']"/>
  </r>
  <r>
    <x v="0"/>
    <x v="0"/>
    <x v="2"/>
    <x v="136"/>
    <s v="Bengaluru, Karnataka, India"/>
    <s v="3 months ago"/>
    <s v="Bengaluru, KA, IN"/>
    <s v="Technology"/>
    <s v="Private"/>
    <x v="137"/>
    <s v="['spark', 'python', 'sql', 'machine learning', 'deep learning', 'tensorflow']"/>
  </r>
  <r>
    <x v="0"/>
    <x v="0"/>
    <x v="0"/>
    <x v="137"/>
    <s v="Montreal, Quebec, Canada . Hybrid"/>
    <s v="5 days ago"/>
    <s v="Dartmouth, NS, CA"/>
    <s v="Technology"/>
    <s v="Private"/>
    <x v="138"/>
    <s v="['pandas', 'numpy', 'pytorch', 'aws', 'scikit-learn', 'python', 'sql', 'machine learning']"/>
  </r>
  <r>
    <x v="0"/>
    <x v="3"/>
    <x v="0"/>
    <x v="138"/>
    <s v="Lebanon, NH . Hybrid"/>
    <s v="17 days ago"/>
    <s v="Bridgewater, NJ, US"/>
    <s v="Healthcare"/>
    <s v="Public"/>
    <x v="139"/>
    <s v="['machine learning', 'python']"/>
  </r>
  <r>
    <x v="0"/>
    <x v="3"/>
    <x v="1"/>
    <x v="78"/>
    <s v="Veldhoven, North Brabant, Netherlands . On-site"/>
    <s v="8 days ago"/>
    <s v="Veldhoven, NB, NL"/>
    <s v="Technology"/>
    <s v="Public"/>
    <x v="140"/>
    <s v="['python']"/>
  </r>
  <r>
    <x v="0"/>
    <x v="0"/>
    <x v="2"/>
    <x v="139"/>
    <s v="United States"/>
    <s v="15 days ago"/>
    <s v="Draper, UT, US"/>
    <s v="Healthcare"/>
    <s v="Public"/>
    <x v="141"/>
    <s v="['sql', 'azure', 'r', 'python']"/>
  </r>
  <r>
    <x v="0"/>
    <x v="0"/>
    <x v="2"/>
    <x v="140"/>
    <s v="New York, NY"/>
    <s v="22 days ago"/>
    <s v="Irving, TX, US"/>
    <s v="Technology"/>
    <s v="Public"/>
    <x v="142"/>
    <s v="['aws', 'git', 'python', 'sql', 'gcp', 'machine learning']"/>
  </r>
  <r>
    <x v="0"/>
    <x v="0"/>
    <x v="1"/>
    <x v="14"/>
    <s v="Annapolis Junction, MD"/>
    <s v="a month ago"/>
    <s v="Baltimore, MD, US"/>
    <s v="Technology"/>
    <s v="Private"/>
    <x v="14"/>
    <s v="['sql', 'machine learning', 'r', 'python']"/>
  </r>
  <r>
    <x v="0"/>
    <x v="0"/>
    <x v="2"/>
    <x v="141"/>
    <s v="Budapest, Budapest, Hungary"/>
    <s v="a month ago"/>
    <s v="New York, NY, US"/>
    <s v="Finance"/>
    <s v="Public"/>
    <x v="143"/>
    <s v="['machine learning', 'python']"/>
  </r>
  <r>
    <x v="0"/>
    <x v="3"/>
    <x v="2"/>
    <x v="142"/>
    <s v="Fort Meade, MD . Fort Meade, Maryland, BirleÅŸik Devletler . Fully Remote"/>
    <s v="3 months ago"/>
    <s v="Fulton, MD, US"/>
    <s v="Technology"/>
    <s v="Private"/>
    <x v="144"/>
    <s v="['sql', 'machine learning', 'r', 'python']"/>
  </r>
  <r>
    <x v="0"/>
    <x v="0"/>
    <x v="1"/>
    <x v="143"/>
    <s v="Mountain View, CA"/>
    <s v="15 days ago"/>
    <s v="Redmond, WA, US"/>
    <s v="Technology"/>
    <s v="Public"/>
    <x v="145"/>
    <s v="['sql', 'python']"/>
  </r>
  <r>
    <x v="0"/>
    <x v="0"/>
    <x v="2"/>
    <x v="144"/>
    <s v="Bengaluru, Karnataka, India"/>
    <s v="19 days ago"/>
    <s v="New York, NY, US"/>
    <s v="Technology"/>
    <s v="Private"/>
    <x v="146"/>
    <s v="['pytorch', 'aws', 'git', 'python', 'docker', 'gcp', 'azure', 'tensorflow']"/>
  </r>
  <r>
    <x v="0"/>
    <x v="1"/>
    <x v="1"/>
    <x v="145"/>
    <s v="Antwerp Metropolitan Area"/>
    <s v="2 days ago"/>
    <s v="Arlington, VA, US"/>
    <s v="Technology"/>
    <s v="Public"/>
    <x v="147"/>
    <s v="['powerbi', 'tableau']"/>
  </r>
  <r>
    <x v="1"/>
    <x v="0"/>
    <x v="1"/>
    <x v="146"/>
    <s v="San Francisco, CA . Seattle, WA . New York, NY . On-site"/>
    <s v="13 days ago"/>
    <s v="Montreal, QC, CA"/>
    <s v="Technology"/>
    <s v="Private"/>
    <x v="138"/>
    <s v="['amazon', 'aws']"/>
  </r>
  <r>
    <x v="0"/>
    <x v="0"/>
    <x v="1"/>
    <x v="147"/>
    <s v="United States"/>
    <s v="9 days ago"/>
    <s v="Austin, TX, US"/>
    <s v="Technology"/>
    <s v="Public"/>
    <x v="148"/>
    <s v="['pytorch', 'aws', 'r', 'python', 'docker', 'machine learning', 'kubernetes', 'deep learning', 'tensorflow']"/>
  </r>
  <r>
    <x v="0"/>
    <x v="0"/>
    <x v="1"/>
    <x v="148"/>
    <s v="Dublin, County Dublin, Ireland"/>
    <s v="22 days ago"/>
    <s v="Eden Prairie, MN, US"/>
    <s v="Healthcare"/>
    <s v="Public"/>
    <x v="149"/>
    <s v="['sql', 'azure', 'python']"/>
  </r>
  <r>
    <x v="0"/>
    <x v="1"/>
    <x v="2"/>
    <x v="149"/>
    <s v="Alpharetta, GA"/>
    <s v="15 days ago"/>
    <s v="Roseland, NJ, US"/>
    <s v="Technology"/>
    <s v="Public"/>
    <x v="150"/>
    <s v="['spark', 'aws', 'r', 'python', 'scala', 'java', 'sql', 'machine learning', 'hadoop', 'azure', 'tensorflow', 'tableau']"/>
  </r>
  <r>
    <x v="0"/>
    <x v="0"/>
    <x v="2"/>
    <x v="150"/>
    <s v="United States"/>
    <s v="a month ago"/>
    <s v="Dallas, TX, US"/>
    <s v="Technology"/>
    <s v="Public"/>
    <x v="151"/>
    <s v="['machine learning']"/>
  </r>
  <r>
    <x v="1"/>
    <x v="0"/>
    <x v="0"/>
    <x v="3"/>
    <s v="San Jose, CA . Hybrid"/>
    <s v="15 days ago"/>
    <s v="San Jose, CA, US"/>
    <s v="Technology"/>
    <s v="Public"/>
    <x v="3"/>
    <s v="['pandas', 'numpy', 'pytorch', 'spark', 'aws', 'scikit-learn', 'python', 'java', 'sql', 'machine learning', 'tensorflow']"/>
  </r>
  <r>
    <x v="0"/>
    <x v="0"/>
    <x v="1"/>
    <x v="151"/>
    <s v="United States . On-site"/>
    <s v="8 days ago"/>
    <s v="Palo Alto, CA, US"/>
    <s v="Technology"/>
    <s v="Private"/>
    <x v="152"/>
    <s v="['sql', 'machine learning', 'r', 'python']"/>
  </r>
  <r>
    <x v="1"/>
    <x v="0"/>
    <x v="2"/>
    <x v="152"/>
    <m/>
    <s v="2 years ago"/>
    <s v="Mumbai, MH, IN"/>
    <s v="Technology"/>
    <s v="Private"/>
    <x v="153"/>
    <s v="['amazon', 'aws']"/>
  </r>
  <r>
    <x v="0"/>
    <x v="0"/>
    <x v="2"/>
    <x v="153"/>
    <s v="Riverwoods, IL"/>
    <s v="10 days ago"/>
    <s v="Riverwoods, IL, US"/>
    <s v="Technology"/>
    <s v="Public"/>
    <x v="154"/>
    <s v="['sql', 'tableau']"/>
  </r>
  <r>
    <x v="0"/>
    <x v="1"/>
    <x v="1"/>
    <x v="154"/>
    <s v="South San Francisco, CA"/>
    <s v="6 days ago"/>
    <s v="South San Francisco, CA, US"/>
    <s v="Technology"/>
    <s v="Private"/>
    <x v="155"/>
    <s v="['machine learning']"/>
  </r>
  <r>
    <x v="0"/>
    <x v="3"/>
    <x v="2"/>
    <x v="155"/>
    <s v="Tallahassee, FL . Arlington, VA . Fully Remote"/>
    <s v="25 days ago"/>
    <s v="Fairfax, VA, US"/>
    <s v="Finance"/>
    <s v="Public"/>
    <x v="156"/>
    <s v="['r', 'python', 'sql', 'machine learning', 'database', 'deep learning']"/>
  </r>
  <r>
    <x v="0"/>
    <x v="0"/>
    <x v="2"/>
    <x v="156"/>
    <s v="Fully Remote"/>
    <s v="a month ago"/>
    <s v="Chicago, IL, US"/>
    <s v="Technology"/>
    <s v="Private"/>
    <x v="157"/>
    <s v="['amazon', 'aws']"/>
  </r>
  <r>
    <x v="0"/>
    <x v="0"/>
    <x v="0"/>
    <x v="157"/>
    <s v="San Jose, CA . Hybrid"/>
    <s v="2 months ago"/>
    <s v="New York, NY, US"/>
    <s v="Technology"/>
    <s v="Private"/>
    <x v="51"/>
    <s v="['sql', 'machine learning', 'r', 'python']"/>
  </r>
  <r>
    <x v="0"/>
    <x v="0"/>
    <x v="1"/>
    <x v="158"/>
    <s v="On-site"/>
    <s v="13 days ago"/>
    <s v="San Francisco, CA, US"/>
    <s v="Technology"/>
    <s v="Private"/>
    <x v="158"/>
    <s v="['amazon', 'aws']"/>
  </r>
  <r>
    <x v="0"/>
    <x v="0"/>
    <x v="2"/>
    <x v="159"/>
    <s v="Edinburgh, Scotland, United Kingdom"/>
    <s v="a day ago"/>
    <s v="Edinburgh, GB"/>
    <s v="Finance"/>
    <s v="Public"/>
    <x v="159"/>
    <s v="['machine learning', 'python']"/>
  </r>
  <r>
    <x v="0"/>
    <x v="0"/>
    <x v="1"/>
    <x v="160"/>
    <s v="Milwaukee, WI"/>
    <s v="8 days ago"/>
    <s v="Deerfield, IL, US"/>
    <s v="Healthcare"/>
    <s v="Public"/>
    <x v="160"/>
    <s v="['spark', 'python', 'scala', 'machine learning', 'database', 'azure', 'tableau']"/>
  </r>
  <r>
    <x v="0"/>
    <x v="3"/>
    <x v="1"/>
    <x v="161"/>
    <s v="Pune, Maharashtra, India . On-site"/>
    <s v="3 months ago"/>
    <s v="Evanston, IL, US"/>
    <s v="Technology"/>
    <s v="Private"/>
    <x v="161"/>
    <s v="['amazon', 'r', 'python', 'java', 'database', 'hadoop', 'machine learning']"/>
  </r>
  <r>
    <x v="0"/>
    <x v="0"/>
    <x v="2"/>
    <x v="162"/>
    <s v="Fully Remote"/>
    <s v="2 months ago"/>
    <s v="Washington, US"/>
    <s v="Technology"/>
    <s v="Private"/>
    <x v="162"/>
    <s v="['amazon', 'aws']"/>
  </r>
  <r>
    <x v="0"/>
    <x v="0"/>
    <x v="1"/>
    <x v="163"/>
    <s v="Seattle, WA"/>
    <s v="a month ago"/>
    <s v="San Francisco, CA, US"/>
    <s v="Technology"/>
    <s v="Public"/>
    <x v="163"/>
    <s v="['sql', 'r', 'python']"/>
  </r>
  <r>
    <x v="0"/>
    <x v="0"/>
    <x v="1"/>
    <x v="90"/>
    <s v="Johns Creek, GA"/>
    <s v="6 days ago"/>
    <s v="New York, NY, US"/>
    <s v="Retail"/>
    <s v="Public"/>
    <x v="164"/>
    <s v="['machine learning']"/>
  </r>
  <r>
    <x v="0"/>
    <x v="0"/>
    <x v="0"/>
    <x v="164"/>
    <s v="Basking Ridge, NJ . Irving, TX . Temple Terrace, FL . Boston, MA . Ashburn, VA + 1 More . Hybrid"/>
    <s v="8 days ago"/>
    <s v="Basking Ridge, NJ, US"/>
    <s v="Technology"/>
    <s v="Public"/>
    <x v="165"/>
    <s v="['python', 'sql', 'machine learning', 'database', 'hadoop', 'deep learning']"/>
  </r>
  <r>
    <x v="0"/>
    <x v="0"/>
    <x v="2"/>
    <x v="165"/>
    <s v="Itanagar, Arunachal Pradesh, India"/>
    <s v="2 months ago"/>
    <s v="Mumbai, MH, IN"/>
    <s v="Finance"/>
    <s v="Private"/>
    <x v="166"/>
    <s v="['pandas', 'numpy', 'pytorch', 'spark', 'aws', 'git', 'scikit-learn', 'python', 'docker', 'scipy', 'hadoop', 'machine learning', 'database', 'keras', 'deep learning', 'matplotlib', 'tensorflow']"/>
  </r>
  <r>
    <x v="0"/>
    <x v="0"/>
    <x v="2"/>
    <x v="166"/>
    <s v="Fully Remote"/>
    <s v="16 days ago"/>
    <s v="San Francisco, CA, US"/>
    <s v="Technology"/>
    <s v="Private"/>
    <x v="167"/>
    <s v="['amazon', 'aws']"/>
  </r>
  <r>
    <x v="0"/>
    <x v="0"/>
    <x v="1"/>
    <x v="13"/>
    <s v="New Brunswick, NJ"/>
    <s v="a day ago"/>
    <s v="New Brunswick, NJ, US"/>
    <s v="Healthcare"/>
    <s v="Public"/>
    <x v="168"/>
    <s v="['aws', 'powerbi', 'r', 'python', 'airflow', 'machine learning', 'azure', 'tableau']"/>
  </r>
  <r>
    <x v="0"/>
    <x v="0"/>
    <x v="1"/>
    <x v="167"/>
    <s v="Bellevue, WA"/>
    <s v="23 days ago"/>
    <s v="New York, NY, US"/>
    <s v="Technology"/>
    <s v="Public"/>
    <x v="169"/>
    <s v="['pytorch', 'scikit-learn', 'python', 'scala', 'java', 'machine learning', 'tensorflow']"/>
  </r>
  <r>
    <x v="0"/>
    <x v="1"/>
    <x v="1"/>
    <x v="112"/>
    <s v="Phoenix, AZ"/>
    <s v="15 days ago"/>
    <s v="San Antonio, TX, US"/>
    <s v="Finance"/>
    <s v="Private"/>
    <x v="170"/>
    <s v="['spark', 'r', 'python', 'sql', 'machine learning', 'hadoop', 'deep learning']"/>
  </r>
  <r>
    <x v="0"/>
    <x v="0"/>
    <x v="2"/>
    <x v="168"/>
    <s v="McLean, VA"/>
    <s v="2 months ago"/>
    <s v="Annapolis Junction, MD, US"/>
    <s v="Technology"/>
    <s v="Private"/>
    <x v="58"/>
    <s v="['database', 'machine learning', 'python']"/>
  </r>
  <r>
    <x v="0"/>
    <x v="1"/>
    <x v="2"/>
    <x v="169"/>
    <s v="Columbia, MD"/>
    <s v="14 days ago"/>
    <s v="Columbia, MD, US"/>
    <s v="Technology"/>
    <s v="Private"/>
    <x v="93"/>
    <s v="['pytorch', 'spark', 'aws', 'r', 'python', 'scikit-learn', 'scala', 'sql', 'machine learning', 'gcp', 'azure', 'tensorflow']"/>
  </r>
  <r>
    <x v="0"/>
    <x v="0"/>
    <x v="1"/>
    <x v="170"/>
    <s v="On-site"/>
    <s v="a month ago"/>
    <s v="New York, NY, US"/>
    <s v="Technology"/>
    <s v="Private"/>
    <x v="58"/>
    <s v="['amazon', 'aws']"/>
  </r>
  <r>
    <x v="0"/>
    <x v="0"/>
    <x v="1"/>
    <x v="91"/>
    <s v="Utah, United States"/>
    <s v="15 days ago"/>
    <s v="Falls Church, VA, US"/>
    <s v="Technology"/>
    <s v="Public"/>
    <x v="171"/>
    <s v="['aws', 'gcp', 'azure']"/>
  </r>
  <r>
    <x v="1"/>
    <x v="0"/>
    <x v="1"/>
    <x v="171"/>
    <s v="South San Francisco, CA . South San Francisco, Kalifornia, Stany Zjednoczone"/>
    <s v="7 days ago"/>
    <s v="South San Francisco, CA, US"/>
    <s v="Healthcare"/>
    <s v="Private"/>
    <x v="172"/>
    <s v="['pytorch', 'python', 'machine learning', 'deep learning', 'tensorflow']"/>
  </r>
  <r>
    <x v="0"/>
    <x v="0"/>
    <x v="0"/>
    <x v="70"/>
    <s v="Kitchener-Waterloo, ON . Toronto, ON . Hybrid"/>
    <s v="11 days ago"/>
    <s v="San Francisco, CA, US"/>
    <s v="Finance"/>
    <s v="Private"/>
    <x v="73"/>
    <s v="['amazon', 'aws']"/>
  </r>
  <r>
    <x v="1"/>
    <x v="0"/>
    <x v="1"/>
    <x v="85"/>
    <s v="Torrance, CA"/>
    <s v="15 days ago"/>
    <s v="Torrance, CA, US"/>
    <s v="Technology"/>
    <s v="Public"/>
    <x v="84"/>
    <s v="['java', 'machine learning', 'r', 'python']"/>
  </r>
  <r>
    <x v="0"/>
    <x v="3"/>
    <x v="2"/>
    <x v="57"/>
    <s v="Fully Remote"/>
    <s v="4 days ago"/>
    <s v="San Francisco, CA, US"/>
    <s v="Technology"/>
    <s v="Private"/>
    <x v="58"/>
    <s v="['amazon', 'aws']"/>
  </r>
  <r>
    <x v="1"/>
    <x v="1"/>
    <x v="1"/>
    <x v="152"/>
    <m/>
    <s v="a year ago"/>
    <s v="Mumbai, MH, IN"/>
    <s v="Technology"/>
    <s v="Private"/>
    <x v="153"/>
    <s v="['amazon', 'aws']"/>
  </r>
  <r>
    <x v="0"/>
    <x v="0"/>
    <x v="0"/>
    <x v="172"/>
    <s v="Greater Chicago Area . Hybrid"/>
    <s v="a month ago"/>
    <s v="Chicago, IL, US"/>
    <s v="Finance"/>
    <s v="Private"/>
    <x v="173"/>
    <s v="['aws', 'python', 'sql', 'machine learning', 'deep learning']"/>
  </r>
  <r>
    <x v="0"/>
    <x v="3"/>
    <x v="1"/>
    <x v="173"/>
    <s v="Barcelona, Spain . On-site"/>
    <s v="2 months ago"/>
    <s v="Milano, IT"/>
    <s v="Technology"/>
    <s v="Private"/>
    <x v="174"/>
    <s v="['amazon', 'aws']"/>
  </r>
  <r>
    <x v="0"/>
    <x v="0"/>
    <x v="1"/>
    <x v="38"/>
    <s v="Cambridge, MA"/>
    <s v="5 days ago"/>
    <s v="Cambridge, MA, US"/>
    <s v="Technology"/>
    <s v="Public"/>
    <x v="175"/>
    <s v="['r', 'python', 'sql', 'hadoop', 'machine learning']"/>
  </r>
  <r>
    <x v="0"/>
    <x v="0"/>
    <x v="1"/>
    <x v="174"/>
    <s v="Normal, IL . Plymouth, MI . Palo Alto, CA . Irvine, CA . Atlanta, GA"/>
    <s v="15 days ago"/>
    <s v="Irvine, CA, US"/>
    <s v="Technology"/>
    <s v="Public"/>
    <x v="25"/>
    <s v="['sql', 'r', 'python']"/>
  </r>
  <r>
    <x v="1"/>
    <x v="3"/>
    <x v="0"/>
    <x v="175"/>
    <s v="Sunnyvale, CA . Hybrid"/>
    <s v="a day ago"/>
    <s v="San Francisco, CA, US"/>
    <s v="Technology"/>
    <s v="Private"/>
    <x v="7"/>
    <s v="['amazon', 'aws']"/>
  </r>
  <r>
    <x v="0"/>
    <x v="0"/>
    <x v="2"/>
    <x v="83"/>
    <s v="Fully Remote"/>
    <s v="11 days ago"/>
    <s v="Mountain View, CA, US"/>
    <s v="Technology"/>
    <s v="Public"/>
    <x v="176"/>
    <s v="['amazon', 'aws']"/>
  </r>
  <r>
    <x v="0"/>
    <x v="0"/>
    <x v="1"/>
    <x v="176"/>
    <s v="Menlo Park, CA"/>
    <s v="3 months ago"/>
    <s v="Bozeman, MT, US"/>
    <s v="Technology"/>
    <s v="Public"/>
    <x v="118"/>
    <s v="['python']"/>
  </r>
  <r>
    <x v="0"/>
    <x v="0"/>
    <x v="2"/>
    <x v="177"/>
    <s v="Fully Remote"/>
    <s v="7 days ago"/>
    <s v="Greenbelt, MD, US"/>
    <s v="Technology"/>
    <s v="Private"/>
    <x v="177"/>
    <s v="['amazon', 'aws']"/>
  </r>
  <r>
    <x v="0"/>
    <x v="0"/>
    <x v="1"/>
    <x v="178"/>
    <s v="Cincinnati, OH"/>
    <s v="a month ago"/>
    <s v="Jacksonville, FL, US"/>
    <s v="Finance"/>
    <s v="Public"/>
    <x v="178"/>
    <s v="['spark', 'aws', 'python', 'sql', 'machine learning', 'gcp', 'azure']"/>
  </r>
  <r>
    <x v="0"/>
    <x v="3"/>
    <x v="1"/>
    <x v="179"/>
    <s v="McLean, VA"/>
    <s v="6 days ago"/>
    <s v="McLean, VA, US"/>
    <s v="Retail"/>
    <s v="Public"/>
    <x v="179"/>
    <s v="['spark', 'aws', 'r', 'python', 'scala', 'sql', 'database', 'machine learning']"/>
  </r>
  <r>
    <x v="0"/>
    <x v="0"/>
    <x v="1"/>
    <x v="148"/>
    <s v="Dublin, County Dublin, Ireland"/>
    <s v="15 days ago"/>
    <s v="Eden Prairie, MN, US"/>
    <s v="Healthcare"/>
    <s v="Public"/>
    <x v="180"/>
    <s v="['machine learning', 'r', 'python']"/>
  </r>
  <r>
    <x v="0"/>
    <x v="0"/>
    <x v="1"/>
    <x v="170"/>
    <s v="On-site"/>
    <s v="a month ago"/>
    <s v="New York, NY, US"/>
    <s v="Technology"/>
    <s v="Private"/>
    <x v="58"/>
    <s v="['amazon', 'aws']"/>
  </r>
  <r>
    <x v="0"/>
    <x v="3"/>
    <x v="0"/>
    <x v="180"/>
    <s v="Boston, MA . Hybrid"/>
    <s v="5 days ago"/>
    <s v="Boston, MA, US"/>
    <s v="Retail"/>
    <s v="Public"/>
    <x v="181"/>
    <s v="['amazon', 'aws']"/>
  </r>
  <r>
    <x v="0"/>
    <x v="0"/>
    <x v="1"/>
    <x v="181"/>
    <s v="United States"/>
    <s v="10 days ago"/>
    <s v="Northbrook, IL, US"/>
    <s v="Technology"/>
    <s v="Public"/>
    <x v="182"/>
    <s v="['aws', 'r', 'python', 'linux', 'sql', 'machine learning', 'deep learning', 'azure']"/>
  </r>
  <r>
    <x v="0"/>
    <x v="0"/>
    <x v="2"/>
    <x v="155"/>
    <s v="Arlington, VA"/>
    <s v="a month ago"/>
    <s v="Fairfax, VA, US"/>
    <s v="Finance"/>
    <s v="Public"/>
    <x v="156"/>
    <s v="['r', 'python', 'sql', 'machine learning', 'database', 'deep learning']"/>
  </r>
  <r>
    <x v="1"/>
    <x v="3"/>
    <x v="1"/>
    <x v="154"/>
    <s v="New York, NY"/>
    <s v="14 days ago"/>
    <s v="South San Francisco, CA, US"/>
    <s v="Technology"/>
    <s v="Private"/>
    <x v="183"/>
    <s v="['deep learning', 'machine learning', 'r', 'python']"/>
  </r>
  <r>
    <x v="0"/>
    <x v="0"/>
    <x v="1"/>
    <x v="182"/>
    <s v="On-site"/>
    <s v="4 months ago"/>
    <s v="San Francisco, CA, US"/>
    <s v="Technology"/>
    <s v="Private"/>
    <x v="184"/>
    <s v="['amazon', 'aws']"/>
  </r>
  <r>
    <x v="0"/>
    <x v="3"/>
    <x v="1"/>
    <x v="183"/>
    <s v="San Francisco, CA"/>
    <s v="15 days ago"/>
    <s v="Santa Monica, CA, US"/>
    <s v="Technology"/>
    <s v="Public"/>
    <x v="185"/>
    <s v="['spark', 'aws', 'python', 'airflow', 'sql', 'gcp', 'machine learning']"/>
  </r>
  <r>
    <x v="0"/>
    <x v="0"/>
    <x v="1"/>
    <x v="184"/>
    <s v="Atlanta, GA"/>
    <s v="a month ago"/>
    <s v="Minneapolis, MN, US"/>
    <s v="Finance"/>
    <s v="Private"/>
    <x v="186"/>
    <s v="['pandas', 'aws', 'scikit-learn', 'python', 'sql', 'machine learning', 'gcp', 'azure', 'matplotlib']"/>
  </r>
  <r>
    <x v="0"/>
    <x v="0"/>
    <x v="0"/>
    <x v="185"/>
    <s v="London, England, United Kingdom . Hybrid"/>
    <s v="15 days ago"/>
    <s v="Newton, MA, US"/>
    <s v="Technology"/>
    <s v="Public"/>
    <x v="162"/>
    <s v="['sql', 'aws', 'r', 'python']"/>
  </r>
  <r>
    <x v="0"/>
    <x v="0"/>
    <x v="0"/>
    <x v="186"/>
    <s v="Bengaluru, Karnataka, India . Hybrid"/>
    <s v="a month ago"/>
    <s v="San Jose, CA, US"/>
    <s v="Technology"/>
    <s v="Public"/>
    <x v="187"/>
    <s v="['pandas', 'numpy', 'pytorch', 'aws', 'r', 'python', 'scikit-learn', 'scipy', 'sql', 'machine learning', 'deep learning', 'keras', 'azure', 'matplotlib', 'tensorflow', 'tableau']"/>
  </r>
  <r>
    <x v="0"/>
    <x v="0"/>
    <x v="2"/>
    <x v="187"/>
    <s v="Washington, United States . Idaho, United States . Arizona, United States . Georgia, United States . South Carolina, United States + 1 More . Fully Remote"/>
    <s v="7 days ago"/>
    <s v="Seattle, WA, US"/>
    <s v="Finance"/>
    <s v="Public"/>
    <x v="188"/>
    <s v="['tableau', 'sql', 'r', 'python']"/>
  </r>
  <r>
    <x v="0"/>
    <x v="3"/>
    <x v="2"/>
    <x v="188"/>
    <s v="Mexico City Metropolitan Area . Fully Remote"/>
    <s v="15 days ago"/>
    <s v="Cheyenne, WY, US"/>
    <s v="Technology"/>
    <s v="Public"/>
    <x v="189"/>
    <s v="['sql', 'machine learning', 'python']"/>
  </r>
  <r>
    <x v="0"/>
    <x v="0"/>
    <x v="1"/>
    <x v="189"/>
    <s v="Englewood, CO"/>
    <s v="a month ago"/>
    <s v="Englewood, CO, US"/>
    <s v="Technology"/>
    <s v="Public"/>
    <x v="117"/>
    <s v="['sql', 'r', 'python']"/>
  </r>
  <r>
    <x v="0"/>
    <x v="0"/>
    <x v="0"/>
    <x v="190"/>
    <s v="New York, NY . Hybrid"/>
    <s v="a month ago"/>
    <s v="New York, NY, US"/>
    <s v="Technology"/>
    <s v="Private"/>
    <x v="116"/>
    <s v="['amazon', 'aws']"/>
  </r>
  <r>
    <x v="0"/>
    <x v="0"/>
    <x v="2"/>
    <x v="191"/>
    <s v="Madrid, Community of Madrid, Spain"/>
    <s v="25 days ago"/>
    <s v="Amsterdam, NH, NL"/>
    <s v="Technology"/>
    <s v="Private"/>
    <x v="190"/>
    <s v="['spark', 'aws', 'powerbi', 'r', 'python', 'docker', 'linux', 'sql', 'azure', 'tableau']"/>
  </r>
  <r>
    <x v="0"/>
    <x v="1"/>
    <x v="0"/>
    <x v="192"/>
    <s v="Palo Alto, CA . Hybrid"/>
    <s v="2 months ago"/>
    <s v="Palo Alto, CA, US"/>
    <s v="Technology"/>
    <s v="Private"/>
    <x v="8"/>
    <s v="['amazon', 'aws']"/>
  </r>
  <r>
    <x v="0"/>
    <x v="0"/>
    <x v="0"/>
    <x v="193"/>
    <s v="Seattle, WA . Hybrid"/>
    <s v="4 days ago"/>
    <s v="San Francisco, CA, US"/>
    <s v="Technology"/>
    <s v="Private"/>
    <x v="14"/>
    <s v="['sql', 'python']"/>
  </r>
  <r>
    <x v="0"/>
    <x v="3"/>
    <x v="0"/>
    <x v="194"/>
    <s v="Hybrid"/>
    <s v="a month ago"/>
    <s v="Toronto, ON, CA"/>
    <s v="Technology"/>
    <s v="Private"/>
    <x v="191"/>
    <s v="['amazon', 'aws']"/>
  </r>
  <r>
    <x v="0"/>
    <x v="0"/>
    <x v="1"/>
    <x v="195"/>
    <s v="Toronto, Ontario, Canada"/>
    <s v="5 days ago"/>
    <s v="Toronto, ON, CA"/>
    <s v="Finance"/>
    <s v="Private"/>
    <x v="192"/>
    <s v="['machine learning', 'python']"/>
  </r>
  <r>
    <x v="0"/>
    <x v="0"/>
    <x v="1"/>
    <x v="37"/>
    <s v="United States"/>
    <s v="5 days ago"/>
    <s v="Chicago, IL, US"/>
    <s v="Technology"/>
    <s v="Private"/>
    <x v="36"/>
    <s v="['spark', 'aws', 'python', 'sql', 'machine learning', 'gcp', 'azure']"/>
  </r>
  <r>
    <x v="0"/>
    <x v="3"/>
    <x v="1"/>
    <x v="196"/>
    <s v="New York City, New York, United States . On-site"/>
    <s v="2 months ago"/>
    <s v="San Francisco, CA, US"/>
    <s v="Technology"/>
    <s v="Private"/>
    <x v="5"/>
    <s v="['amazon', 'aws']"/>
  </r>
  <r>
    <x v="0"/>
    <x v="0"/>
    <x v="1"/>
    <x v="197"/>
    <s v="Lexington, MA . Massachusetts, United States"/>
    <s v="a month ago"/>
    <s v="London, GB"/>
    <s v="Technology"/>
    <s v="Public"/>
    <x v="4"/>
    <s v="['aws', 'scikit-learn', 'python', 'sql', 'machine learning', 'deep learning', 'tensorflow']"/>
  </r>
  <r>
    <x v="0"/>
    <x v="1"/>
    <x v="1"/>
    <x v="198"/>
    <s v="New York, United States"/>
    <s v="6 days ago"/>
    <s v="New York, NY, US"/>
    <s v="Technology"/>
    <s v="Private"/>
    <x v="141"/>
    <s v="['tableau', 'sql', 'r', 'python']"/>
  </r>
  <r>
    <x v="0"/>
    <x v="0"/>
    <x v="1"/>
    <x v="199"/>
    <s v="Fort George G Meade, Maryland, United States . On-site"/>
    <s v="3 months ago"/>
    <s v="Catonsville, MD, US"/>
    <s v="Technology"/>
    <s v="Private"/>
    <x v="14"/>
    <s v="['amazon', 'aws']"/>
  </r>
  <r>
    <x v="0"/>
    <x v="3"/>
    <x v="2"/>
    <x v="188"/>
    <s v="SÃ£o Paulo, SÃ£o Paulo, Brazil . Fully Remote"/>
    <s v="14 days ago"/>
    <s v="Cheyenne, WY, US"/>
    <s v="Technology"/>
    <s v="Public"/>
    <x v="189"/>
    <s v="['sql', 'machine learning', 'python']"/>
  </r>
  <r>
    <x v="0"/>
    <x v="3"/>
    <x v="1"/>
    <x v="200"/>
    <s v="Sacramento, CA"/>
    <s v="19 days ago"/>
    <s v="Sacramento, CA, US"/>
    <s v="Healthcare"/>
    <s v="Public"/>
    <x v="193"/>
    <s v="['amazon', 'aws']"/>
  </r>
  <r>
    <x v="0"/>
    <x v="0"/>
    <x v="1"/>
    <x v="201"/>
    <s v="New York, United States . Minneapolis, MN . Chicago, IL"/>
    <s v="5 days ago"/>
    <s v="Minneapolis, MN, US"/>
    <s v="Technology"/>
    <s v="Private"/>
    <x v="58"/>
    <s v="['git', 'r', 'python', 'docker', 'sql', 'machine learning']"/>
  </r>
  <r>
    <x v="0"/>
    <x v="3"/>
    <x v="1"/>
    <x v="202"/>
    <s v="Bellevue, WA"/>
    <s v="a month ago"/>
    <s v="Dania Beach, FL, US"/>
    <s v="Retail"/>
    <s v="Public"/>
    <x v="194"/>
    <s v="['aws', 'git', 'python', 'sql', 'machine learning']"/>
  </r>
  <r>
    <x v="0"/>
    <x v="0"/>
    <x v="1"/>
    <x v="101"/>
    <s v="Bengaluru, Karnataka, India . Bengaluru East, Karnataka, India"/>
    <s v="3 months ago"/>
    <s v="Amsterdam, NH, NL"/>
    <s v="Healthcare"/>
    <s v="Public"/>
    <x v="195"/>
    <s v="['pytorch', 'python', 'docker', 'machine learning', 'kubernetes', 'deep learning', 'tensorflow']"/>
  </r>
  <r>
    <x v="0"/>
    <x v="0"/>
    <x v="1"/>
    <x v="196"/>
    <s v="New York City, New York, United States . On-site"/>
    <s v="23 days ago"/>
    <s v="San Francisco, CA, US"/>
    <s v="Technology"/>
    <s v="Private"/>
    <x v="5"/>
    <s v="['amazon', 'aws']"/>
  </r>
  <r>
    <x v="0"/>
    <x v="1"/>
    <x v="0"/>
    <x v="203"/>
    <s v="Bengaluru, Karnataka, India . Hybrid"/>
    <s v="a month ago"/>
    <s v="Toronto, ON, CA"/>
    <s v="Finance"/>
    <s v="Private"/>
    <x v="196"/>
    <s v="['aws', 'machine learning', 'gcp', 'azure', 'deep learning']"/>
  </r>
  <r>
    <x v="1"/>
    <x v="0"/>
    <x v="1"/>
    <x v="204"/>
    <s v="Washington, DC . On-site"/>
    <s v="14 days ago"/>
    <s v="San Francisco, CA, US"/>
    <s v="Technology"/>
    <s v="Private"/>
    <x v="197"/>
    <s v="['deep learning', 'aws', 'machine learning', 'python']"/>
  </r>
  <r>
    <x v="1"/>
    <x v="3"/>
    <x v="1"/>
    <x v="205"/>
    <s v="Jersey City, NJ"/>
    <s v="12 days ago"/>
    <s v="Teaneck, NJ, US"/>
    <s v="Technology"/>
    <s v="Public"/>
    <x v="198"/>
    <s v="['aws', 'gcp', 'azure']"/>
  </r>
  <r>
    <x v="0"/>
    <x v="0"/>
    <x v="1"/>
    <x v="206"/>
    <s v="Los Alamos, NM"/>
    <s v="14 days ago"/>
    <s v="Los Alamos, NM, US"/>
    <s v="Energy"/>
    <s v="Public"/>
    <x v="199"/>
    <s v="['git', 'r', 'python', 'sql', 'machine learning', 'database', 'deep learning']"/>
  </r>
  <r>
    <x v="1"/>
    <x v="3"/>
    <x v="1"/>
    <x v="207"/>
    <s v="Austin, TX"/>
    <s v="4 months ago"/>
    <s v="Austin, TX, US"/>
    <s v="Education"/>
    <s v="Public"/>
    <x v="200"/>
    <s v="['linux', 'python']"/>
  </r>
  <r>
    <x v="0"/>
    <x v="0"/>
    <x v="1"/>
    <x v="208"/>
    <s v="Irvine, CA"/>
    <s v="6 days ago"/>
    <s v="US"/>
    <s v="Technology"/>
    <s v="Private"/>
    <x v="201"/>
    <s v="['amazon', 'pytorch', 'aws', 'python', 'java', 'machine learning', 'deep learning', 'keras', 'azure', 'tensorflow']"/>
  </r>
  <r>
    <x v="0"/>
    <x v="0"/>
    <x v="2"/>
    <x v="209"/>
    <s v="Brisbane, CA"/>
    <s v="19 days ago"/>
    <s v="South San Francisco, CA, US"/>
    <s v="Healthcare"/>
    <s v="Public"/>
    <x v="173"/>
    <s v="['pandas', 'numpy', 'git', 'r', 'python', 'scikit-learn', 'machine learning', 'matplotlib']"/>
  </r>
  <r>
    <x v="0"/>
    <x v="3"/>
    <x v="1"/>
    <x v="210"/>
    <s v="Mountain View, California, United States . On-site"/>
    <s v="5 months ago"/>
    <s v="Mountain View, CA, US"/>
    <s v="Technology"/>
    <s v="Private"/>
    <x v="202"/>
    <s v="['amazon', 'aws']"/>
  </r>
  <r>
    <x v="1"/>
    <x v="0"/>
    <x v="1"/>
    <x v="211"/>
    <s v="New York, NY . Boston, MA . Los Angeles, CA"/>
    <s v="a year ago"/>
    <s v="Cambridge, MA, US"/>
    <s v="Technology"/>
    <s v="Public"/>
    <x v="189"/>
    <s v="['pytorch', 'machine learning']"/>
  </r>
  <r>
    <x v="0"/>
    <x v="3"/>
    <x v="0"/>
    <x v="212"/>
    <s v="Kansas City, KS . Hybrid"/>
    <s v="a month ago"/>
    <s v="Kansas City, KS, US"/>
    <s v="Healthcare"/>
    <s v="Public"/>
    <x v="203"/>
    <s v="['pytorch', 'r', 'python', 'machine learning', 'deep learning', 'tensorflow']"/>
  </r>
  <r>
    <x v="0"/>
    <x v="0"/>
    <x v="1"/>
    <x v="213"/>
    <s v="Boston, MA . United States"/>
    <s v="22 days ago"/>
    <s v="Boston, MA, US"/>
    <s v="Finance"/>
    <s v="Private"/>
    <x v="204"/>
    <s v="['deep learning', 'machine learning']"/>
  </r>
  <r>
    <x v="0"/>
    <x v="0"/>
    <x v="0"/>
    <x v="157"/>
    <s v="San Jose, CA . Hybrid"/>
    <s v="2 months ago"/>
    <s v="New York, NY, US"/>
    <s v="Technology"/>
    <s v="Private"/>
    <x v="51"/>
    <s v="['sql', 'machine learning', 'r', 'python']"/>
  </r>
  <r>
    <x v="0"/>
    <x v="2"/>
    <x v="1"/>
    <x v="214"/>
    <s v="San Diego, CA"/>
    <s v="7 days ago"/>
    <s v="San Diego, CA, US"/>
    <s v="Technology"/>
    <s v="Private"/>
    <x v="205"/>
    <s v="['sql', 'machine learning', 'tableau']"/>
  </r>
  <r>
    <x v="0"/>
    <x v="0"/>
    <x v="2"/>
    <x v="215"/>
    <s v="United States . Fully Remote"/>
    <s v="14 days ago"/>
    <s v="Eden Prairie, MN, US"/>
    <s v="Technology"/>
    <s v="Private"/>
    <x v="206"/>
    <s v="['pytorch', 'scikit-learn', 'python', 'java', 'machine learning', 'tensorflow']"/>
  </r>
  <r>
    <x v="0"/>
    <x v="0"/>
    <x v="1"/>
    <x v="216"/>
    <s v="Bengaluru, Karnataka, India"/>
    <s v="a month ago"/>
    <s v="San Jose, CA, US"/>
    <s v="Technology"/>
    <s v="Private"/>
    <x v="4"/>
    <s v="['pytorch', 'aws', 'python', 'docker', 'gcp', 'kubernetes', 'azure']"/>
  </r>
  <r>
    <x v="0"/>
    <x v="0"/>
    <x v="0"/>
    <x v="217"/>
    <s v="Toronto, Ontario, Canada . Hybrid"/>
    <s v="7 days ago"/>
    <s v="London, GB"/>
    <s v="Finance"/>
    <s v="Public"/>
    <x v="207"/>
    <s v="['machine learning', 'python']"/>
  </r>
  <r>
    <x v="0"/>
    <x v="0"/>
    <x v="1"/>
    <x v="218"/>
    <s v="Boston, MA . à¸šà¸­à¸ªà¸•à¸±à¸™, à¸£à¸±à¸à¹à¸¡à¸ªà¸‹à¸²à¸Šà¸¹à¹€à¸‹à¸•à¸ªà¹Œ, à¸ªà¸«à¸£à¸±à¸"/>
    <s v="25 days ago"/>
    <s v="Boston, MA, US"/>
    <s v="Healthcare"/>
    <s v="Public"/>
    <x v="208"/>
    <s v="['r', 'python', 'sql', 'machine learning', 'tableau']"/>
  </r>
  <r>
    <x v="0"/>
    <x v="2"/>
    <x v="0"/>
    <x v="219"/>
    <s v="Overland Park, KS . Frisco, TX . Bellevue, WA . Hybrid"/>
    <s v="3 days ago"/>
    <s v="Bellevue, WA, US"/>
    <s v="Technology"/>
    <s v="Public"/>
    <x v="209"/>
    <s v="['sql', 'machine learning', 'r', 'python']"/>
  </r>
  <r>
    <x v="0"/>
    <x v="3"/>
    <x v="1"/>
    <x v="125"/>
    <s v="Singapore, Singapore"/>
    <s v="2 days ago"/>
    <s v="Singapore, SG"/>
    <s v="Finance"/>
    <s v="Public"/>
    <x v="210"/>
    <s v="['spark', 'git', 'python', 'sql', 'hadoop']"/>
  </r>
  <r>
    <x v="0"/>
    <x v="1"/>
    <x v="0"/>
    <x v="220"/>
    <s v="Lake Mary, FL . Hybrid"/>
    <s v="4 days ago"/>
    <s v="New York, NY, US"/>
    <s v="Finance"/>
    <s v="Public"/>
    <x v="211"/>
    <s v="['sql', 'kubernetes', 'machine learning', 'python']"/>
  </r>
  <r>
    <x v="0"/>
    <x v="0"/>
    <x v="0"/>
    <x v="221"/>
    <s v="Vilniaus, Lithuania . Nzalae/ Nzawa locations, Kitui County, Kenya . Hybrid"/>
    <s v="5 months ago"/>
    <s v="Miami, FL, US"/>
    <s v="Technology"/>
    <s v="Private"/>
    <x v="212"/>
    <s v="['aws', 'database', 'sql', 'machine learning', 'gcp', 'kubernetes', 'deep learning', 'azure']"/>
  </r>
  <r>
    <x v="0"/>
    <x v="3"/>
    <x v="1"/>
    <x v="222"/>
    <s v="Brazil, Sao Paulo . On-site"/>
    <s v="14 days ago"/>
    <s v="SÃ£o Paulo, SP, BR"/>
    <s v="Technology"/>
    <s v="Private"/>
    <x v="213"/>
    <s v="['amazon', 'aws']"/>
  </r>
  <r>
    <x v="0"/>
    <x v="0"/>
    <x v="1"/>
    <x v="223"/>
    <s v="Washington, DC"/>
    <s v="2 days ago"/>
    <s v="Vienna, VA, US"/>
    <s v="Technology"/>
    <s v="Private"/>
    <x v="144"/>
    <s v="['spark', 'r', 'python', 'sql', 'machine learning']"/>
  </r>
  <r>
    <x v="0"/>
    <x v="3"/>
    <x v="2"/>
    <x v="224"/>
    <s v="Fully Remote"/>
    <s v="2 days ago"/>
    <s v="San Diego, CA, US"/>
    <s v="Technology"/>
    <s v="Private"/>
    <x v="8"/>
    <s v="['amazon', 'aws']"/>
  </r>
  <r>
    <x v="0"/>
    <x v="1"/>
    <x v="2"/>
    <x v="225"/>
    <s v="Fully Remote"/>
    <s v="7 days ago"/>
    <s v="Gaithersburg, MD, US"/>
    <s v="Technology"/>
    <s v="Private"/>
    <x v="51"/>
    <s v="['amazon', 'aws']"/>
  </r>
  <r>
    <x v="0"/>
    <x v="0"/>
    <x v="1"/>
    <x v="226"/>
    <s v="San Francisco, CA . Chicago, IL . Seattle, WA . New York, NY"/>
    <s v="13 days ago"/>
    <s v="San Francisco, CA, US"/>
    <s v="Technology"/>
    <s v="Private"/>
    <x v="214"/>
    <s v="['pandas', 'sql', 'python']"/>
  </r>
  <r>
    <x v="0"/>
    <x v="0"/>
    <x v="2"/>
    <x v="227"/>
    <s v="Alpharetta, GA"/>
    <s v="3 months ago"/>
    <s v="Chicago, IL, US"/>
    <s v="Healthcare"/>
    <s v="Public"/>
    <x v="215"/>
    <s v="['pandas', 'numpy', 'aws', 'scikit-learn', 'python', 'scipy', 'database', 'matplotlib']"/>
  </r>
  <r>
    <x v="0"/>
    <x v="0"/>
    <x v="1"/>
    <x v="228"/>
    <s v="Orlando, FL"/>
    <s v="4 days ago"/>
    <s v="Fairfax, VA, US"/>
    <s v="Technology"/>
    <s v="Private"/>
    <x v="216"/>
    <s v="['amazon', 'azure', 'machine learning']"/>
  </r>
  <r>
    <x v="0"/>
    <x v="0"/>
    <x v="1"/>
    <x v="229"/>
    <s v="Plainsboro, NJ"/>
    <s v="7 days ago"/>
    <s v="BagsvÃ¦rd, DK"/>
    <s v="Healthcare"/>
    <s v="Public"/>
    <x v="217"/>
    <s v="['deep learning']"/>
  </r>
  <r>
    <x v="1"/>
    <x v="3"/>
    <x v="0"/>
    <x v="230"/>
    <s v="New York, NY . Hybrid"/>
    <s v="23 days ago"/>
    <s v="New York, NY, US"/>
    <s v="Technology"/>
    <s v="Private"/>
    <x v="93"/>
    <s v="['amazon', 'aws']"/>
  </r>
  <r>
    <x v="0"/>
    <x v="0"/>
    <x v="2"/>
    <x v="231"/>
    <s v="Fully Remote"/>
    <s v="8 days ago"/>
    <s v="San Diego, CA, US"/>
    <s v="Technology"/>
    <s v="Private"/>
    <x v="14"/>
    <s v="['amazon', 'aws']"/>
  </r>
  <r>
    <x v="0"/>
    <x v="1"/>
    <x v="0"/>
    <x v="232"/>
    <s v="Tempe, AZ . Hybrid"/>
    <s v="20 days ago"/>
    <s v="Bloomington, IL, US"/>
    <s v="Finance"/>
    <s v="Private"/>
    <x v="151"/>
    <s v="['linux', 'aws', 'r', 'python']"/>
  </r>
  <r>
    <x v="0"/>
    <x v="0"/>
    <x v="1"/>
    <x v="233"/>
    <s v="Indianapolis, IN"/>
    <s v="15 days ago"/>
    <s v="Indianapolis, IN, US"/>
    <s v="Healthcare"/>
    <s v="Public"/>
    <x v="218"/>
    <s v="['tableau']"/>
  </r>
  <r>
    <x v="1"/>
    <x v="0"/>
    <x v="0"/>
    <x v="234"/>
    <s v="Redwood City, CA . Hybrid"/>
    <s v="7 days ago"/>
    <s v="Redwood City, CA, US"/>
    <s v="Retail"/>
    <s v="Public"/>
    <x v="77"/>
    <s v="['pytorch', 'spark', 'python', 'scala', 'sql', 'machine learning', 'deep learning', 'tensorflow']"/>
  </r>
  <r>
    <x v="0"/>
    <x v="0"/>
    <x v="0"/>
    <x v="235"/>
    <s v="Santa Clara, CA . Hybrid"/>
    <s v="3 months ago"/>
    <s v="Santa Clara, CA, US"/>
    <s v="Technology"/>
    <s v="Private"/>
    <x v="158"/>
    <s v="['pandas', 'numpy', 'pytorch', 'spark', 'aws', 'python', 'machine learning', 'gcp', 'deep learning', 'azure', 'matplotlib', 'tensorflow']"/>
  </r>
  <r>
    <x v="0"/>
    <x v="0"/>
    <x v="1"/>
    <x v="236"/>
    <s v="Bengaluru, Karnataka, India"/>
    <s v="2 months ago"/>
    <s v="Vancouver, BC, CA"/>
    <s v="Technology"/>
    <s v="Private"/>
    <x v="219"/>
    <s v="['powerbi', 'python', 'sql', 'machine learning', 'deep learning', 'matplotlib', 'tableau']"/>
  </r>
  <r>
    <x v="0"/>
    <x v="3"/>
    <x v="2"/>
    <x v="8"/>
    <s v="Fully Remote"/>
    <s v="a month ago"/>
    <s v="Boston, MA, US"/>
    <s v="Technology"/>
    <s v="Private"/>
    <x v="8"/>
    <s v="['amazon', 'aws']"/>
  </r>
  <r>
    <x v="0"/>
    <x v="1"/>
    <x v="1"/>
    <x v="237"/>
    <s v="Boston, MA"/>
    <s v="7 days ago"/>
    <s v="Boston, MA, US"/>
    <s v="Finance"/>
    <s v="Public"/>
    <x v="220"/>
    <s v="['sql', 'machine learning', 'r', 'python']"/>
  </r>
  <r>
    <x v="0"/>
    <x v="0"/>
    <x v="0"/>
    <x v="238"/>
    <s v="Boston, MA . Hybrid"/>
    <s v="16 hours ago"/>
    <s v="Boston, MA, US"/>
    <s v="Finance"/>
    <s v="Private"/>
    <x v="221"/>
    <s v="['r', 'python', 'machine learning', 'keras', 'deep learning', 'tensorflow']"/>
  </r>
  <r>
    <x v="0"/>
    <x v="1"/>
    <x v="2"/>
    <x v="73"/>
    <s v="Raleigh, NC"/>
    <s v="18 days ago"/>
    <s v="Chicago, IL, US"/>
    <s v="Technology"/>
    <s v="Public"/>
    <x v="75"/>
    <s v="['aws', 'scikit-learn', 'python', 'sql', 'machine learning', 'tensorflow']"/>
  </r>
  <r>
    <x v="0"/>
    <x v="0"/>
    <x v="2"/>
    <x v="239"/>
    <s v="Fully Remote"/>
    <s v="a month ago"/>
    <s v="Palo Alto, CA, US"/>
    <s v="Technology"/>
    <s v="Private"/>
    <x v="15"/>
    <s v="['amazon', 'aws']"/>
  </r>
  <r>
    <x v="0"/>
    <x v="0"/>
    <x v="1"/>
    <x v="240"/>
    <s v="Brooklyn, OH . Cleveland, OH . United States"/>
    <s v="a month ago"/>
    <s v="Cleveland, OH, US"/>
    <s v="Finance"/>
    <s v="Public"/>
    <x v="222"/>
    <s v="['sql', 'r', 'python']"/>
  </r>
  <r>
    <x v="0"/>
    <x v="0"/>
    <x v="2"/>
    <x v="241"/>
    <s v="Fully Remote"/>
    <s v="3 days ago"/>
    <s v="San Francisco, CA, US"/>
    <s v="Technology"/>
    <s v="Private"/>
    <x v="14"/>
    <s v="['amazon', 'aws']"/>
  </r>
  <r>
    <x v="0"/>
    <x v="3"/>
    <x v="1"/>
    <x v="242"/>
    <s v="Chicago, IL"/>
    <s v="5 days ago"/>
    <s v="CA"/>
    <s v="Technology"/>
    <s v="Private"/>
    <x v="223"/>
    <s v="['amazon', 'aws']"/>
  </r>
  <r>
    <x v="0"/>
    <x v="0"/>
    <x v="1"/>
    <x v="243"/>
    <s v="South San Francisco, CA"/>
    <s v="4 days ago"/>
    <s v="South San Francisco, CA, US"/>
    <s v="Technology"/>
    <s v="Private"/>
    <x v="8"/>
    <s v="['pytorch', 'aws', 'r', 'python', 'docker', 'scikit-learn', 'machine learning', 'gcp', 'deep learning', 'azure', 'matplotlib', 'tensorflow']"/>
  </r>
  <r>
    <x v="0"/>
    <x v="3"/>
    <x v="1"/>
    <x v="244"/>
    <s v="Philadelphia, PA"/>
    <s v="10 months ago"/>
    <s v="Philadelphia, PA, US"/>
    <s v="Education"/>
    <s v="Public"/>
    <x v="224"/>
    <s v="['sql', 'machine learning', 'r', 'python']"/>
  </r>
  <r>
    <x v="0"/>
    <x v="1"/>
    <x v="1"/>
    <x v="184"/>
    <s v="Minneapolis, MN"/>
    <s v="a month ago"/>
    <s v="Minneapolis, MN, US"/>
    <s v="Finance"/>
    <s v="Private"/>
    <x v="31"/>
    <s v="['pytorch', 'aws', 'python', 'sql', 'machine learning', 'gcp', 'azure', 'tensorflow']"/>
  </r>
  <r>
    <x v="0"/>
    <x v="0"/>
    <x v="0"/>
    <x v="221"/>
    <s v="Bucharest, Bucharest, Romania . Vilnius, Vilniaus, Lithuania . Estonia . Bulgaria . Poland + 11 More . Hybrid"/>
    <s v="2 months ago"/>
    <s v="Miami, FL, US"/>
    <s v="Technology"/>
    <s v="Private"/>
    <x v="212"/>
    <s v="['aws', 'database', 'sql', 'machine learning', 'gcp', 'kubernetes', 'deep learning', 'azure']"/>
  </r>
  <r>
    <x v="0"/>
    <x v="0"/>
    <x v="2"/>
    <x v="245"/>
    <s v="United States . Fully Remote"/>
    <s v="14 days ago"/>
    <s v="Rockville, MD, US"/>
    <s v="Healthcare"/>
    <s v="Private"/>
    <x v="225"/>
    <s v="['pandas', 'numpy', 'aws', 'git', 'scikit-learn', 'python', 'sql', 'gcp', 'database', 'machine learning']"/>
  </r>
  <r>
    <x v="1"/>
    <x v="0"/>
    <x v="2"/>
    <x v="246"/>
    <s v="Fully Remote"/>
    <s v="a month ago"/>
    <s v="Chicago, IL, US"/>
    <s v="Technology"/>
    <s v="Public"/>
    <x v="43"/>
    <s v="['amazon', 'aws']"/>
  </r>
  <r>
    <x v="0"/>
    <x v="0"/>
    <x v="0"/>
    <x v="247"/>
    <s v="San Francisco, California, United States . San Francisco, California, USA . Hybrid"/>
    <s v="a month ago"/>
    <s v="Pittsburgh, PA, US"/>
    <s v="Healthcare"/>
    <s v="Private"/>
    <x v="14"/>
    <s v="['amazon', 'aws']"/>
  </r>
  <r>
    <x v="0"/>
    <x v="0"/>
    <x v="0"/>
    <x v="248"/>
    <s v="Chicago, IL . Ø¥Ù„ÙŠÙ†ÙˆÙŠ Ø´ÙŠÙƒØ§ØºÙˆ Ø§Ù„ÙˆÙ„Ø§ÙŠØ§Øª Ø§Ù„Ù…ØªØ­Ø¯Ø© . Hybrid"/>
    <s v="2 months ago"/>
    <s v="Chicago, IL, US"/>
    <s v="Healthcare"/>
    <s v="Private"/>
    <x v="58"/>
    <s v="['sql', 'machine learning', 'scikit-learn', 'python']"/>
  </r>
  <r>
    <x v="0"/>
    <x v="0"/>
    <x v="0"/>
    <x v="69"/>
    <s v="Austin, Texas . Hybrid"/>
    <s v="a day ago"/>
    <s v="San Jose, CA, US"/>
    <s v="Technology"/>
    <s v="Public"/>
    <x v="72"/>
    <s v="['amazon', 'aws']"/>
  </r>
  <r>
    <x v="0"/>
    <x v="0"/>
    <x v="1"/>
    <x v="249"/>
    <s v="San Diego, CA"/>
    <s v="a month ago"/>
    <s v="San Diego, CA, US"/>
    <s v="Healthcare"/>
    <s v="Public"/>
    <x v="226"/>
    <s v="['r', 'python', 'scala', 'sql', 'gcp']"/>
  </r>
  <r>
    <x v="0"/>
    <x v="1"/>
    <x v="1"/>
    <x v="250"/>
    <s v="Salt Lake City Metropolitan Area"/>
    <s v="7 days ago"/>
    <s v="Salt Lake City, UT, US"/>
    <s v="Education"/>
    <s v="Private"/>
    <x v="38"/>
    <s v="['sql', 'machine learning', 'python']"/>
  </r>
  <r>
    <x v="0"/>
    <x v="3"/>
    <x v="1"/>
    <x v="251"/>
    <s v="Pune, Maharashtra, India"/>
    <s v="7 days ago"/>
    <s v="London, GB"/>
    <s v="Finance"/>
    <s v="Public"/>
    <x v="227"/>
    <s v="['scikit-learn', 'python', 'sql', 'database', 'machine learning']"/>
  </r>
  <r>
    <x v="0"/>
    <x v="2"/>
    <x v="1"/>
    <x v="252"/>
    <s v="Queenstown, Central Singapore Community Development Council, Singapore"/>
    <s v="3 months ago"/>
    <s v="Singapore, SG"/>
    <s v="Education"/>
    <s v="Private"/>
    <x v="36"/>
    <s v="['tableau', 'r', 'python']"/>
  </r>
  <r>
    <x v="0"/>
    <x v="3"/>
    <x v="2"/>
    <x v="253"/>
    <s v="Brookfield, WI . Fully Remote"/>
    <s v="7 days ago"/>
    <s v="Seattle, WA, US"/>
    <s v="Healthcare"/>
    <s v="Private"/>
    <x v="45"/>
    <s v="['aws', 'r', 'python', 'sql', 'machine learning']"/>
  </r>
  <r>
    <x v="0"/>
    <x v="0"/>
    <x v="0"/>
    <x v="254"/>
    <s v="Yonkers, New York, United States . Hybrid"/>
    <s v="17 hours ago"/>
    <s v="Yonkers, NY, US"/>
    <s v="Healthcare"/>
    <s v="Private"/>
    <x v="228"/>
    <s v="['amazon', 'aws']"/>
  </r>
  <r>
    <x v="0"/>
    <x v="0"/>
    <x v="0"/>
    <x v="255"/>
    <s v="Berlin, Berlin, Germany . Hybrid"/>
    <s v="a month ago"/>
    <s v="Berlin, DE"/>
    <s v="Technology"/>
    <s v="Private"/>
    <x v="229"/>
    <s v="['scala', 'spark', 'machine learning', 'python']"/>
  </r>
  <r>
    <x v="0"/>
    <x v="1"/>
    <x v="0"/>
    <x v="256"/>
    <s v="Golden Valley, MN . Austin, TX . Hybrid"/>
    <s v="7 days ago"/>
    <s v="Austin, TX, US"/>
    <s v="Technology"/>
    <s v="Public"/>
    <x v="230"/>
    <s v="['pandas', 'numpy', 'pytorch', 'spark', 'aws', 'git', 'r', 'python', 'scikit-learn', 'sql', 'machine learning', 'keras', 'azure', 'tensorflow']"/>
  </r>
  <r>
    <x v="0"/>
    <x v="0"/>
    <x v="0"/>
    <x v="257"/>
    <s v="Chicago, IL . Hybrid"/>
    <s v="5 days ago"/>
    <s v="Chicago, IL, US"/>
    <s v="Technology"/>
    <s v="Private"/>
    <x v="231"/>
    <s v="['git', 'r', 'python', 'sql', 'machine learning', 'deep learning']"/>
  </r>
  <r>
    <x v="0"/>
    <x v="0"/>
    <x v="2"/>
    <x v="258"/>
    <s v="Fully Remote"/>
    <s v="22 days ago"/>
    <s v="Denver, CO, US"/>
    <s v="Technology"/>
    <s v="Public"/>
    <x v="152"/>
    <s v="['amazon', 'aws']"/>
  </r>
  <r>
    <x v="0"/>
    <x v="0"/>
    <x v="1"/>
    <x v="259"/>
    <s v="Ukraine"/>
    <s v="14 days ago"/>
    <s v="Austin, TX, US"/>
    <s v="Technology"/>
    <s v="Private"/>
    <x v="232"/>
    <s v="['amazon', 'pytorch', 'python', 'machine learning', 'deep learning', 'tensorflow']"/>
  </r>
  <r>
    <x v="0"/>
    <x v="1"/>
    <x v="2"/>
    <x v="260"/>
    <s v="Fully Remote"/>
    <s v="a month ago"/>
    <s v="New York, NY, US"/>
    <s v="Healthcare"/>
    <s v="Private"/>
    <x v="93"/>
    <s v="['amazon', 'aws']"/>
  </r>
  <r>
    <x v="0"/>
    <x v="3"/>
    <x v="1"/>
    <x v="173"/>
    <s v="Barcelona, Spain . On-site"/>
    <s v="a month ago"/>
    <s v="Milano, IT"/>
    <s v="Technology"/>
    <s v="Private"/>
    <x v="25"/>
    <s v="['amazon', 'aws']"/>
  </r>
  <r>
    <x v="0"/>
    <x v="3"/>
    <x v="0"/>
    <x v="261"/>
    <s v="Hybrid"/>
    <s v="a month ago"/>
    <s v="Paris, IDF, FR"/>
    <s v="Technology"/>
    <s v="Private"/>
    <x v="93"/>
    <s v="['amazon', 'aws']"/>
  </r>
  <r>
    <x v="0"/>
    <x v="0"/>
    <x v="2"/>
    <x v="262"/>
    <s v="Fully Remote"/>
    <s v="6 months ago"/>
    <s v="San Francisco, CA, US"/>
    <s v="Energy"/>
    <s v="Private"/>
    <x v="144"/>
    <s v="['amazon', 'aws']"/>
  </r>
  <r>
    <x v="0"/>
    <x v="3"/>
    <x v="1"/>
    <x v="263"/>
    <s v="San Francisco, CA"/>
    <s v="21 days ago"/>
    <s v="Santa Monica, CA, US"/>
    <s v="Technology"/>
    <s v="Public"/>
    <x v="233"/>
    <s v="['spark', 'aws', 'python', 'airflow', 'sql', 'gcp', 'machine learning']"/>
  </r>
  <r>
    <x v="0"/>
    <x v="3"/>
    <x v="1"/>
    <x v="264"/>
    <s v="Rockville, MD"/>
    <s v="a month ago"/>
    <s v="Brentford, GB"/>
    <s v="Healthcare"/>
    <s v="Public"/>
    <x v="234"/>
    <s v="['machine learning', 'r', 'python']"/>
  </r>
  <r>
    <x v="0"/>
    <x v="0"/>
    <x v="0"/>
    <x v="190"/>
    <s v="New York, NY . Hybrid"/>
    <s v="2 months ago"/>
    <s v="New York, NY, US"/>
    <s v="Technology"/>
    <s v="Private"/>
    <x v="116"/>
    <s v="['amazon', 'aws']"/>
  </r>
  <r>
    <x v="0"/>
    <x v="1"/>
    <x v="1"/>
    <x v="31"/>
    <s v="Seattle, WA"/>
    <s v="7 days ago"/>
    <s v="Seattle, WA, US"/>
    <s v="Retail"/>
    <s v="Public"/>
    <x v="235"/>
    <s v="['python', 'sql', 'machine learning', 'azure', 'tableau']"/>
  </r>
  <r>
    <x v="0"/>
    <x v="0"/>
    <x v="2"/>
    <x v="265"/>
    <s v="United States"/>
    <s v="7 days ago"/>
    <s v="Chicago, IL, US"/>
    <s v="Technology"/>
    <s v="Private"/>
    <x v="157"/>
    <s v="['spark', 'aws', 'git', 'r', 'python', 'powerbi', 'scala', 'java', 'sql', 'machine learning', 'gcp', 'hadoop', 'azure', 'matplotlib', 'tableau']"/>
  </r>
  <r>
    <x v="0"/>
    <x v="1"/>
    <x v="1"/>
    <x v="266"/>
    <s v="United States"/>
    <s v="14 days ago"/>
    <s v="Coraopolis, PA, US"/>
    <s v="Retail"/>
    <s v="Public"/>
    <x v="236"/>
    <s v="['pytorch', 'spark', 'python', 'machine learning', 'deep learning', 'azure', 'tensorflow']"/>
  </r>
  <r>
    <x v="0"/>
    <x v="0"/>
    <x v="2"/>
    <x v="267"/>
    <s v="Fully Remote"/>
    <s v="2 days ago"/>
    <s v="Boston, MA, US"/>
    <s v="Healthcare"/>
    <s v="Private"/>
    <x v="127"/>
    <s v="['amazon', 'aws']"/>
  </r>
  <r>
    <x v="0"/>
    <x v="0"/>
    <x v="0"/>
    <x v="268"/>
    <s v="Minneapolis, MN . Hybrid"/>
    <s v="7 days ago"/>
    <s v="Sugar Land, TX, US"/>
    <s v="Healthcare"/>
    <s v="Private"/>
    <x v="237"/>
    <s v="['sql', 'machine learning', 'r', 'python']"/>
  </r>
  <r>
    <x v="0"/>
    <x v="3"/>
    <x v="0"/>
    <x v="269"/>
    <s v="Hybrid"/>
    <s v="a year ago"/>
    <s v="Berkeley, CA, US"/>
    <s v="Technology"/>
    <s v="Private"/>
    <x v="93"/>
    <s v="['amazon', 'aws']"/>
  </r>
  <r>
    <x v="0"/>
    <x v="0"/>
    <x v="2"/>
    <x v="270"/>
    <s v="India, Bengaluru . Fully Remote"/>
    <s v="5 days ago"/>
    <s v="London, GB"/>
    <s v="Technology"/>
    <s v="Private"/>
    <x v="7"/>
    <s v="['amazon', 'aws']"/>
  </r>
  <r>
    <x v="1"/>
    <x v="0"/>
    <x v="1"/>
    <x v="271"/>
    <s v="Colorado Springs, CO"/>
    <s v="14 days ago"/>
    <s v="Huntsville, AL, US"/>
    <s v="Technology"/>
    <s v="Private"/>
    <x v="238"/>
    <s v="['pytorch', 'scikit-learn', 'machine learning', 'tensorflow']"/>
  </r>
  <r>
    <x v="0"/>
    <x v="0"/>
    <x v="0"/>
    <x v="272"/>
    <s v="San Francisco, CA . Hybrid"/>
    <s v="21 days ago"/>
    <s v="San Francisco, CA, US"/>
    <s v="Technology"/>
    <s v="Private"/>
    <x v="73"/>
    <s v="['amazon', 'aws']"/>
  </r>
  <r>
    <x v="0"/>
    <x v="0"/>
    <x v="1"/>
    <x v="120"/>
    <s v="Chicago, IL"/>
    <s v="7 days ago"/>
    <s v="South Bend, IN, US"/>
    <s v="Healthcare"/>
    <s v="Public"/>
    <x v="152"/>
    <s v="['powerbi', 'r', 'python', 'sql', 'database', 'hadoop', 'tableau']"/>
  </r>
  <r>
    <x v="0"/>
    <x v="0"/>
    <x v="1"/>
    <x v="273"/>
    <s v="On-site"/>
    <s v="13 days ago"/>
    <s v="Redwood City, CA, US"/>
    <s v="Technology"/>
    <s v="Private"/>
    <x v="158"/>
    <s v="['amazon', 'aws']"/>
  </r>
  <r>
    <x v="0"/>
    <x v="3"/>
    <x v="0"/>
    <x v="269"/>
    <s v="Hybrid"/>
    <s v="3 years ago"/>
    <s v="Berkeley, CA, US"/>
    <s v="Technology"/>
    <s v="Private"/>
    <x v="93"/>
    <s v="['amazon', 'aws']"/>
  </r>
  <r>
    <x v="0"/>
    <x v="3"/>
    <x v="1"/>
    <x v="274"/>
    <s v="South San Francisco, California, United States . On-site"/>
    <s v="2 months ago"/>
    <s v="San Francisco, CA, US"/>
    <s v="Technology"/>
    <s v="Private"/>
    <x v="14"/>
    <s v="['amazon', 'aws']"/>
  </r>
  <r>
    <x v="0"/>
    <x v="0"/>
    <x v="1"/>
    <x v="275"/>
    <s v="Singapore, Singapore"/>
    <s v="a month ago"/>
    <s v="SG"/>
    <s v="Technology"/>
    <s v="Private"/>
    <x v="239"/>
    <s v="['database']"/>
  </r>
  <r>
    <x v="0"/>
    <x v="1"/>
    <x v="1"/>
    <x v="276"/>
    <s v="Sacramento, California, United States . Jacksonville, Florida, United States . Austin, Texas, United States . Mexico City, Mexico . Ottawa, Ontario, Canada + 17 More . On-site"/>
    <s v="2 months ago"/>
    <s v="San Francisco, CA, US"/>
    <s v="Technology"/>
    <s v="Private"/>
    <x v="58"/>
    <s v="['amazon', 'aws']"/>
  </r>
  <r>
    <x v="0"/>
    <x v="3"/>
    <x v="1"/>
    <x v="277"/>
    <s v="Annapolis Junction, Maryland, United States . On-site"/>
    <s v="7 days ago"/>
    <s v="Herndon, VA, US"/>
    <s v="Technology"/>
    <s v="Private"/>
    <x v="240"/>
    <s v="['amazon', 'aws']"/>
  </r>
  <r>
    <x v="0"/>
    <x v="0"/>
    <x v="2"/>
    <x v="278"/>
    <s v="Fully Remote"/>
    <s v="2 months ago"/>
    <s v="El Segundo, CA, US"/>
    <s v="Technology"/>
    <s v="Private"/>
    <x v="14"/>
    <s v="['amazon', 'aws']"/>
  </r>
  <r>
    <x v="0"/>
    <x v="0"/>
    <x v="0"/>
    <x v="279"/>
    <s v="United States . Hybrid"/>
    <s v="4 days ago"/>
    <s v="Boston, MA, US"/>
    <s v="Technology"/>
    <s v="Public"/>
    <x v="241"/>
    <s v="['pytorch', 'aws', 'scikit-learn', 'python', 'sql', 'machine learning', 'deep learning', 'tensorflow']"/>
  </r>
  <r>
    <x v="0"/>
    <x v="0"/>
    <x v="1"/>
    <x v="280"/>
    <s v="Fort Huachuca, AZ . Fort Huachuca, Arizona, United States"/>
    <s v="22 days ago"/>
    <s v="Herndon, VA, US"/>
    <s v="Technology"/>
    <s v="Private"/>
    <x v="242"/>
    <s v="['amazon', 'aws']"/>
  </r>
  <r>
    <x v="0"/>
    <x v="0"/>
    <x v="1"/>
    <x v="281"/>
    <s v="Richmond, VA"/>
    <s v="8 days ago"/>
    <s v="Plano, TX, US"/>
    <s v="Technology"/>
    <s v="Private"/>
    <x v="57"/>
    <s v="['git', 'r', 'python', 'sql', 'machine learning']"/>
  </r>
  <r>
    <x v="0"/>
    <x v="0"/>
    <x v="1"/>
    <x v="280"/>
    <s v="Ashburn, VA"/>
    <s v="21 days ago"/>
    <s v="Herndon, VA, US"/>
    <s v="Technology"/>
    <s v="Private"/>
    <x v="243"/>
    <s v="['spark', 'aws', 'r', 'python', 'scala', 'java', 'sql', 'machine learning', 'hadoop', 'azure', 'tableau']"/>
  </r>
  <r>
    <x v="0"/>
    <x v="1"/>
    <x v="1"/>
    <x v="282"/>
    <s v="New York, NY"/>
    <s v="6 months ago"/>
    <s v="New York, NY, US"/>
    <s v="Technology"/>
    <s v="Private"/>
    <x v="244"/>
    <s v="['spark', 'aws', 'python', 'sql', 'machine learning']"/>
  </r>
  <r>
    <x v="0"/>
    <x v="0"/>
    <x v="1"/>
    <x v="283"/>
    <s v="Greater Milwaukee"/>
    <s v="8 days ago"/>
    <s v="Green Bay, WI, US"/>
    <s v="Retail"/>
    <s v="Public"/>
    <x v="245"/>
    <s v="['spark', 'aws', 'r', 'python', 'scala', 'sql', 'machine learning', 'gcp', 'deep learning', 'hadoop', 'azure', 'tableau']"/>
  </r>
  <r>
    <x v="0"/>
    <x v="1"/>
    <x v="1"/>
    <x v="218"/>
    <s v="Boston, MA"/>
    <s v="23 days ago"/>
    <s v="Boston, MA, US"/>
    <s v="Healthcare"/>
    <s v="Private"/>
    <x v="246"/>
    <s v="['r', 'python', 'sql', 'machine learning', 'tableau']"/>
  </r>
  <r>
    <x v="0"/>
    <x v="0"/>
    <x v="0"/>
    <x v="284"/>
    <s v="Maplewood, MN . Hybrid"/>
    <s v="7 days ago"/>
    <s v="Maplewood, MN, US"/>
    <s v="Healthcare"/>
    <s v="Public"/>
    <x v="247"/>
    <s v="['machine learning', 'r', 'python']"/>
  </r>
  <r>
    <x v="0"/>
    <x v="0"/>
    <x v="1"/>
    <x v="285"/>
    <s v="San Francisco, CA"/>
    <s v="2 days ago"/>
    <s v="San Francisco, CA, US"/>
    <s v="Finance"/>
    <s v="Private"/>
    <x v="144"/>
    <s v="['amazon', 'machine learning']"/>
  </r>
  <r>
    <x v="0"/>
    <x v="0"/>
    <x v="0"/>
    <x v="286"/>
    <s v="Austin, TX . Hybrid"/>
    <s v="14 days ago"/>
    <s v="Austin, TX, US"/>
    <s v="Technology"/>
    <s v="Private"/>
    <x v="48"/>
    <s v="['pandas', 'numpy', 'aws', 'r', 'python', 'scikit-learn', 'airflow', 'sql', 'machine learning', 'gcp', 'azure', 'matplotlib', 'tableau']"/>
  </r>
  <r>
    <x v="0"/>
    <x v="0"/>
    <x v="0"/>
    <x v="226"/>
    <s v="San Francisco, CA . Hybrid"/>
    <s v="4 days ago"/>
    <s v="San Francisco, CA, US"/>
    <s v="Technology"/>
    <s v="Private"/>
    <x v="214"/>
    <s v="['sql', 'machine learning', 'python']"/>
  </r>
  <r>
    <x v="0"/>
    <x v="2"/>
    <x v="2"/>
    <x v="287"/>
    <s v="Dallas, TX"/>
    <s v="14 days ago"/>
    <s v="Dallas, TX, US"/>
    <s v="Healthcare"/>
    <s v="Private"/>
    <x v="248"/>
    <s v="['machine learning', 'r', 'python']"/>
  </r>
  <r>
    <x v="0"/>
    <x v="1"/>
    <x v="1"/>
    <x v="288"/>
    <s v="Elsbethen, Salzburg, Austria"/>
    <s v="7 days ago"/>
    <s v="Fuschl am See, AT"/>
    <s v="Energy"/>
    <s v="Private"/>
    <x v="249"/>
    <s v="['sql', 'git', 'r', 'python']"/>
  </r>
  <r>
    <x v="0"/>
    <x v="3"/>
    <x v="1"/>
    <x v="289"/>
    <s v="San Francisco, CA . On-site"/>
    <s v="13 days ago"/>
    <s v="San Francisco, CA, US"/>
    <s v="Technology"/>
    <s v="Private"/>
    <x v="144"/>
    <s v="['amazon', 'aws']"/>
  </r>
  <r>
    <x v="0"/>
    <x v="1"/>
    <x v="0"/>
    <x v="290"/>
    <s v="Los Angeles, CA . Hybrid"/>
    <s v="a month ago"/>
    <s v="Los Angeles, CA, US"/>
    <s v="Technology"/>
    <s v="Private"/>
    <x v="5"/>
    <s v="['amazon', 'aws']"/>
  </r>
  <r>
    <x v="0"/>
    <x v="3"/>
    <x v="0"/>
    <x v="291"/>
    <s v="Hybrid"/>
    <s v="5 months ago"/>
    <s v="San Francisco, CA, US"/>
    <s v="Technology"/>
    <s v="Private"/>
    <x v="14"/>
    <s v="['amazon', 'aws']"/>
  </r>
  <r>
    <x v="0"/>
    <x v="0"/>
    <x v="0"/>
    <x v="292"/>
    <s v="Chicago, Illinois, United States . Hybrid"/>
    <s v="7 days ago"/>
    <s v="Buffalo Grove, IL, US"/>
    <s v="Manufacturing"/>
    <s v="Private"/>
    <x v="58"/>
    <s v="['amazon', 'aws']"/>
  </r>
  <r>
    <x v="0"/>
    <x v="0"/>
    <x v="2"/>
    <x v="293"/>
    <s v="Fully Remote"/>
    <s v="20 days ago"/>
    <s v="Ann Arbor, MI, US"/>
    <s v="Technology"/>
    <s v="Private"/>
    <x v="36"/>
    <s v="['amazon', 'aws']"/>
  </r>
  <r>
    <x v="0"/>
    <x v="1"/>
    <x v="2"/>
    <x v="294"/>
    <s v="Detroit, MI"/>
    <s v="a day ago"/>
    <s v="Columbus, OH, US"/>
    <s v="Finance"/>
    <s v="Public"/>
    <x v="250"/>
    <s v="['aws', 'r', 'python', 'scikit-learn', 'sql', 'machine learning', 'database', 'deep learning', 'tensorflow']"/>
  </r>
  <r>
    <x v="0"/>
    <x v="2"/>
    <x v="1"/>
    <x v="295"/>
    <s v="Miami, FL"/>
    <s v="14 days ago"/>
    <s v="Chicago, IL, US"/>
    <s v="Finance"/>
    <s v="Private"/>
    <x v="251"/>
    <s v="['pandas', 'spark', 'r', 'python', 'scikit-learn', 'sql', 'gcp', 'machine learning', 'tensorflow', 'tableau']"/>
  </r>
  <r>
    <x v="0"/>
    <x v="1"/>
    <x v="1"/>
    <x v="296"/>
    <s v="New York County, NY"/>
    <s v="14 days ago"/>
    <s v="Chicago, IL, US"/>
    <s v="Retail"/>
    <s v="Private"/>
    <x v="154"/>
    <s v="['amazon', 'aws']"/>
  </r>
  <r>
    <x v="0"/>
    <x v="1"/>
    <x v="0"/>
    <x v="297"/>
    <s v="Los Angeles, CA . Hybrid"/>
    <s v="a month ago"/>
    <s v="Los Angeles, CA, US"/>
    <s v="Technology"/>
    <s v="Private"/>
    <x v="5"/>
    <s v="['amazon', 'aws']"/>
  </r>
  <r>
    <x v="0"/>
    <x v="0"/>
    <x v="1"/>
    <x v="298"/>
    <s v="United States"/>
    <s v="a month ago"/>
    <s v="San Francisco, CA, US"/>
    <s v="Technology"/>
    <s v="Public"/>
    <x v="252"/>
    <s v="['pytorch', 'aws', 'r', 'python', 'sql', 'machine learning', 'database', 'deep learning', 'tensorflow']"/>
  </r>
  <r>
    <x v="0"/>
    <x v="0"/>
    <x v="1"/>
    <x v="299"/>
    <s v="Boston, MA"/>
    <s v="14 days ago"/>
    <s v="San Francisco, CA, US"/>
    <s v="Finance"/>
    <s v="Private"/>
    <x v="253"/>
    <s v="['amazon', 'spark', 'git', 'r', 'python', 'linux', 'java', 'sql', 'machine learning', 'database', 'azure']"/>
  </r>
  <r>
    <x v="0"/>
    <x v="0"/>
    <x v="0"/>
    <x v="300"/>
    <s v="New York, NY . Hybrid"/>
    <s v="15 days ago"/>
    <s v="New York, NY, US"/>
    <s v="Retail"/>
    <s v="Public"/>
    <x v="4"/>
    <s v="['amazon', 'r', 'python', 'sql', 'machine learning']"/>
  </r>
  <r>
    <x v="0"/>
    <x v="0"/>
    <x v="1"/>
    <x v="301"/>
    <s v="Lake Oswego, OR . Portland, OR . Hillsboro, OR"/>
    <s v="2 months ago"/>
    <s v="Roseburg, OR, US"/>
    <s v="Finance"/>
    <s v="Public"/>
    <x v="25"/>
    <s v="['aws', 'r', 'python', 'sql', 'machine learning', 'azure']"/>
  </r>
  <r>
    <x v="0"/>
    <x v="3"/>
    <x v="1"/>
    <x v="302"/>
    <s v="San Francisco Bay Area . On-site"/>
    <s v="5 days ago"/>
    <s v="San Francisco, CA, US"/>
    <s v="Technology"/>
    <s v="Private"/>
    <x v="15"/>
    <s v="['pandas', 'numpy', 'pytorch', 'aws', 'scikit-learn', 'python', 'tensorflow']"/>
  </r>
  <r>
    <x v="0"/>
    <x v="0"/>
    <x v="1"/>
    <x v="303"/>
    <s v="United States"/>
    <s v="25 days ago"/>
    <s v="Omaha, NE, US"/>
    <s v="Technology"/>
    <s v="Private"/>
    <x v="144"/>
    <s v="['sql', 'machine learning', 'r', 'python']"/>
  </r>
  <r>
    <x v="0"/>
    <x v="3"/>
    <x v="1"/>
    <x v="304"/>
    <s v="Alameda, CA"/>
    <s v="2 months ago"/>
    <s v="Alameda, CA, US"/>
    <s v="Healthcare"/>
    <s v="Public"/>
    <x v="254"/>
    <s v="['amazon', 'aws']"/>
  </r>
  <r>
    <x v="0"/>
    <x v="0"/>
    <x v="2"/>
    <x v="305"/>
    <s v="United States . Fully Remote"/>
    <s v="14 days ago"/>
    <s v="Miami, FL, US"/>
    <s v="Finance"/>
    <s v="Private"/>
    <x v="255"/>
    <s v="['sql', 'python']"/>
  </r>
  <r>
    <x v="0"/>
    <x v="0"/>
    <x v="1"/>
    <x v="306"/>
    <s v="United States"/>
    <s v="a month ago"/>
    <s v="Reston, VA, US"/>
    <s v="Technology"/>
    <s v="Public"/>
    <x v="256"/>
    <s v="['pandas', 'pytorch', 'aws', 'r', 'python', 'linux', 'java', 'machine learning', 'gcp', 'deep learning', 'azure', 'tensorflow']"/>
  </r>
  <r>
    <x v="0"/>
    <x v="0"/>
    <x v="1"/>
    <x v="307"/>
    <s v="Grand Rapids, MI"/>
    <s v="a month ago"/>
    <s v="Grand Rapids, MI, US"/>
    <s v="Retail"/>
    <s v="Private"/>
    <x v="257"/>
    <s v="['pandas', 'numpy', 'pytorch', 'r', 'python', 'sql', 'machine learning', 'azure', 'tensorflow']"/>
  </r>
  <r>
    <x v="0"/>
    <x v="0"/>
    <x v="1"/>
    <x v="308"/>
    <s v="Ahmedabad, Gujarat, India . Bengaluru, Karnataka, India"/>
    <s v="7 days ago"/>
    <s v="New York, NY, US"/>
    <s v="Technology"/>
    <s v="Public"/>
    <x v="258"/>
    <s v="['pytorch', 'deep learning', 'machine learning', 'python']"/>
  </r>
  <r>
    <x v="0"/>
    <x v="0"/>
    <x v="1"/>
    <x v="237"/>
    <s v="New York, NY"/>
    <s v="10 days ago"/>
    <s v="Boston, MA, US"/>
    <s v="Finance"/>
    <s v="Public"/>
    <x v="259"/>
    <s v="['kubernetes', 'machine learning', 'python']"/>
  </r>
  <r>
    <x v="1"/>
    <x v="3"/>
    <x v="0"/>
    <x v="309"/>
    <s v="Hybrid"/>
    <s v="12 days ago"/>
    <s v="San Francisco, CA, US"/>
    <s v="Energy"/>
    <s v="Private"/>
    <x v="260"/>
    <s v="['amazon', 'aws']"/>
  </r>
  <r>
    <x v="0"/>
    <x v="0"/>
    <x v="0"/>
    <x v="69"/>
    <s v="New York, New York . Hybrid"/>
    <s v="a day ago"/>
    <s v="San Jose, CA, US"/>
    <s v="Technology"/>
    <s v="Public"/>
    <x v="72"/>
    <s v="['amazon', 'aws']"/>
  </r>
  <r>
    <x v="0"/>
    <x v="0"/>
    <x v="1"/>
    <x v="310"/>
    <s v="Fredericksburg, VA . Richmond, VA . San Francisco, CA . Seattle, WA"/>
    <s v="4 days ago"/>
    <s v="Chevy Chase, MD, US"/>
    <s v="Technology"/>
    <s v="Private"/>
    <x v="261"/>
    <s v="['powerbi', 'r', 'python', 'java', 'sql', 'machine learning', 'tableau']"/>
  </r>
  <r>
    <x v="0"/>
    <x v="0"/>
    <x v="1"/>
    <x v="311"/>
    <s v="Los Angeles, CA"/>
    <s v="5 days ago"/>
    <s v="Los Angeles, CA, US"/>
    <s v="Healthcare"/>
    <s v="Private"/>
    <x v="262"/>
    <s v="['pandas', 'git', 'r', 'python', 'keras', 'machine learning']"/>
  </r>
  <r>
    <x v="0"/>
    <x v="0"/>
    <x v="1"/>
    <x v="312"/>
    <s v="Charlotte, NC . Charlotte, North Carolina, United States"/>
    <s v="a month ago"/>
    <s v="Stamford, CT, US"/>
    <s v="Technology"/>
    <s v="Public"/>
    <x v="263"/>
    <s v="['machine learning', 'r', 'python']"/>
  </r>
  <r>
    <x v="0"/>
    <x v="0"/>
    <x v="0"/>
    <x v="313"/>
    <s v="Munich, Germany . Hybrid"/>
    <s v="7 months ago"/>
    <s v="OH, US"/>
    <s v="Manufacturing"/>
    <s v="Private"/>
    <x v="15"/>
    <s v="['amazon', 'aws']"/>
  </r>
  <r>
    <x v="0"/>
    <x v="0"/>
    <x v="0"/>
    <x v="314"/>
    <s v="United States . Hybrid"/>
    <s v="14 days ago"/>
    <s v="Birmingham, AL, US"/>
    <s v="Technology"/>
    <s v="Private"/>
    <x v="264"/>
    <s v="['pytorch', 'spark', 'scikit-learn', 'python', 'sql', 'machine learning', 'tensorflow']"/>
  </r>
  <r>
    <x v="0"/>
    <x v="0"/>
    <x v="0"/>
    <x v="315"/>
    <s v="Seattle, WA . Hybrid"/>
    <s v="18 days ago"/>
    <s v="Seattle, WA, US"/>
    <s v="Retail"/>
    <s v="Public"/>
    <x v="265"/>
    <s v="['aws', 'python', 'scala', 'java', 'gcp', 'machine learning']"/>
  </r>
  <r>
    <x v="0"/>
    <x v="0"/>
    <x v="1"/>
    <x v="316"/>
    <s v="Pittsburgh, PA"/>
    <s v="2 months ago"/>
    <s v="Pittsburgh, PA, US"/>
    <s v="Education"/>
    <s v="Private"/>
    <x v="266"/>
    <s v="['machine learning']"/>
  </r>
  <r>
    <x v="0"/>
    <x v="0"/>
    <x v="1"/>
    <x v="317"/>
    <s v="Calgary, Alberta, Canada . Canada, Moyen-Chari, Chad . Greater Calgary Metropolitan Area"/>
    <s v="2 months ago"/>
    <s v="Herndon, VA, US"/>
    <s v="Technology"/>
    <s v="Private"/>
    <x v="267"/>
    <s v="['scikit-learn', 'python']"/>
  </r>
  <r>
    <x v="0"/>
    <x v="0"/>
    <x v="1"/>
    <x v="318"/>
    <s v="Augusta, GA"/>
    <s v="a month ago"/>
    <s v="Columbia, MD, US"/>
    <s v="Technology"/>
    <s v="Private"/>
    <x v="5"/>
    <s v="['machine learning', 'python']"/>
  </r>
  <r>
    <x v="0"/>
    <x v="0"/>
    <x v="1"/>
    <x v="319"/>
    <s v="Toronto, Ontario, Canada"/>
    <s v="a month ago"/>
    <s v="Toronto, ON, CA"/>
    <s v="Retail"/>
    <s v="Public"/>
    <x v="268"/>
    <s v="['git', 'python', 'airflow', 'sql', 'machine learning', 'hadoop', 'azure']"/>
  </r>
  <r>
    <x v="0"/>
    <x v="0"/>
    <x v="1"/>
    <x v="320"/>
    <s v="New York, United States"/>
    <s v="7 days ago"/>
    <s v="New York, NY, US"/>
    <s v="Technology"/>
    <s v="Public"/>
    <x v="269"/>
    <s v="['spark', 'aws', 'git', 'python', 'docker', 'airflow', 'sql', 'machine learning', 'tableau']"/>
  </r>
  <r>
    <x v="0"/>
    <x v="0"/>
    <x v="1"/>
    <x v="321"/>
    <s v="Houston, TX . Houston, Texas, Statele Unite Ale Americii . Houston, Texas, USA"/>
    <s v="a month ago"/>
    <s v="Bedford, MA, US"/>
    <s v="Technology"/>
    <s v="Public"/>
    <x v="270"/>
    <s v="['deep learning', 'machine learning', 'python']"/>
  </r>
  <r>
    <x v="0"/>
    <x v="0"/>
    <x v="0"/>
    <x v="322"/>
    <s v="Chicago, IL . Hybrid"/>
    <s v="7 days ago"/>
    <s v="Chicago, IL, US"/>
    <s v="Healthcare"/>
    <s v="Private"/>
    <x v="271"/>
    <s v="['r', 'python', 'java', 'sql', 'machine learning', 'database', 'deep learning', 'tableau']"/>
  </r>
  <r>
    <x v="0"/>
    <x v="0"/>
    <x v="1"/>
    <x v="107"/>
    <s v="Henrietta, NY"/>
    <s v="3 months ago"/>
    <s v="Rochester, NY, US"/>
    <s v="Education"/>
    <s v="Private"/>
    <x v="272"/>
    <s v="['machine learning']"/>
  </r>
  <r>
    <x v="0"/>
    <x v="3"/>
    <x v="1"/>
    <x v="318"/>
    <s v="Denver, CO"/>
    <s v="a month ago"/>
    <s v="Columbia, MD, US"/>
    <s v="Technology"/>
    <s v="Private"/>
    <x v="5"/>
    <s v="['machine learning', 'python']"/>
  </r>
  <r>
    <x v="0"/>
    <x v="0"/>
    <x v="0"/>
    <x v="273"/>
    <s v="Hybrid"/>
    <s v="13 days ago"/>
    <s v="Redwood City, CA, US"/>
    <s v="Technology"/>
    <s v="Private"/>
    <x v="158"/>
    <s v="['amazon', 'aws']"/>
  </r>
  <r>
    <x v="0"/>
    <x v="3"/>
    <x v="1"/>
    <x v="323"/>
    <s v="On-site"/>
    <s v="14 days ago"/>
    <s v="Ventura, CA, US"/>
    <s v="Technology"/>
    <s v="Public"/>
    <x v="273"/>
    <s v="['amazon', 'aws']"/>
  </r>
  <r>
    <x v="0"/>
    <x v="1"/>
    <x v="0"/>
    <x v="324"/>
    <s v="Chicago, IL . Hybrid"/>
    <s v="9 days ago"/>
    <s v="Austin, TX, US"/>
    <s v="Logistics"/>
    <s v="Private"/>
    <x v="274"/>
    <s v="['amazon', 'aws']"/>
  </r>
  <r>
    <x v="0"/>
    <x v="0"/>
    <x v="1"/>
    <x v="325"/>
    <s v="San Francisco, CA"/>
    <s v="4 days ago"/>
    <s v="San Francisco, CA, US"/>
    <s v="Retail"/>
    <s v="Public"/>
    <x v="275"/>
    <s v="['aws', 'python', 'machine learning', 'azure', 'deep learning', 'tableau']"/>
  </r>
  <r>
    <x v="0"/>
    <x v="0"/>
    <x v="0"/>
    <x v="326"/>
    <s v="United States . Hybrid"/>
    <s v="7 days ago"/>
    <s v="New York, NY, US"/>
    <s v="Education"/>
    <s v="Private"/>
    <x v="276"/>
    <s v="['pandas', 'aws', 'r', 'python', 'scikit-learn', 'sql', 'machine learning', 'gcp', 'azure']"/>
  </r>
  <r>
    <x v="0"/>
    <x v="2"/>
    <x v="1"/>
    <x v="327"/>
    <s v="San Diego, CA"/>
    <s v="6 days ago"/>
    <s v="San Diego, CA, US"/>
    <s v="Finance"/>
    <s v="Private"/>
    <x v="158"/>
    <s v="['pandas', 'numpy', 'pytorch', 'aws', 'r', 'python', 'scikit-learn', 'sql', 'machine learning', 'gcp', 'deep learning', 'azure', 'tensorflow', 'tableau']"/>
  </r>
  <r>
    <x v="0"/>
    <x v="0"/>
    <x v="0"/>
    <x v="290"/>
    <s v="Los Angeles, CA . Hybrid"/>
    <s v="a month ago"/>
    <s v="Los Angeles, CA, US"/>
    <s v="Technology"/>
    <s v="Private"/>
    <x v="5"/>
    <s v="['amazon', 'aws']"/>
  </r>
  <r>
    <x v="0"/>
    <x v="0"/>
    <x v="1"/>
    <x v="299"/>
    <s v="Chicago, IL"/>
    <s v="14 days ago"/>
    <s v="San Francisco, CA, US"/>
    <s v="Finance"/>
    <s v="Private"/>
    <x v="253"/>
    <s v="['amazon', 'spark', 'git', 'r', 'python', 'linux', 'java', 'sql', 'machine learning', 'database', 'azure']"/>
  </r>
  <r>
    <x v="0"/>
    <x v="0"/>
    <x v="2"/>
    <x v="328"/>
    <s v="Remote - US . San Diego, California, United States . Fully Remote"/>
    <s v="14 days ago"/>
    <s v="San Diego, CA, US"/>
    <s v="Technology"/>
    <s v="Private"/>
    <x v="36"/>
    <s v="['amazon', 'aws']"/>
  </r>
  <r>
    <x v="0"/>
    <x v="0"/>
    <x v="2"/>
    <x v="329"/>
    <s v="Torrance, CA"/>
    <s v="7 days ago"/>
    <s v="Renton, WA, US"/>
    <s v="Healthcare"/>
    <s v="Private"/>
    <x v="277"/>
    <s v="['r', 'python', 'scala', 'sql', 'machine learning', 'database', 'azure', 'tableau']"/>
  </r>
  <r>
    <x v="0"/>
    <x v="1"/>
    <x v="1"/>
    <x v="24"/>
    <s v="Visakhapatnam Rural mandal, India"/>
    <s v="7 days ago"/>
    <s v="Bengaluru, KA, IN"/>
    <s v="Technology"/>
    <s v="Public"/>
    <x v="132"/>
    <s v="['deep learning', 'machine learning']"/>
  </r>
  <r>
    <x v="0"/>
    <x v="0"/>
    <x v="0"/>
    <x v="330"/>
    <s v="Canada . Vancouver, BC, Canada . Hybrid"/>
    <s v="a month ago"/>
    <s v="Vancouver, BC, CA"/>
    <s v="Technology"/>
    <s v="Private"/>
    <x v="278"/>
    <s v="['amazon', 'aws']"/>
  </r>
  <r>
    <x v="1"/>
    <x v="0"/>
    <x v="1"/>
    <x v="34"/>
    <s v="Toronto, Ontario, Canada"/>
    <s v="a month ago"/>
    <s v="Cherry Hill, NJ, US"/>
    <s v="Technology"/>
    <s v="Private"/>
    <x v="133"/>
    <s v="['pytorch', 'spark', 'aws', 'database', 'sql', 'machine learning', 'deep learning', 'azure', 'tensorflow']"/>
  </r>
  <r>
    <x v="1"/>
    <x v="0"/>
    <x v="0"/>
    <x v="331"/>
    <s v="Dublin, Ireland . Hybrid"/>
    <s v="6 days ago"/>
    <s v="San Francisco, CA, US"/>
    <s v="Technology"/>
    <s v="Private"/>
    <x v="279"/>
    <s v="['amazon', 'aws']"/>
  </r>
  <r>
    <x v="0"/>
    <x v="0"/>
    <x v="1"/>
    <x v="148"/>
    <s v="Bengaluru, Karnataka, India"/>
    <s v="14 days ago"/>
    <s v="Eden Prairie, MN, US"/>
    <s v="Healthcare"/>
    <s v="Public"/>
    <x v="280"/>
    <s v="['spark', 'aws', 'python', 'sql', 'machine learning', 'deep learning', 'azure']"/>
  </r>
  <r>
    <x v="0"/>
    <x v="0"/>
    <x v="0"/>
    <x v="273"/>
    <s v="Redwood City, CA (Hybrid) . Hybrid"/>
    <s v="6 days ago"/>
    <s v="Redwood City, CA, US"/>
    <s v="Technology"/>
    <s v="Private"/>
    <x v="158"/>
    <s v="['amazon', 'aws']"/>
  </r>
  <r>
    <x v="0"/>
    <x v="0"/>
    <x v="1"/>
    <x v="332"/>
    <s v="Waltham, MA"/>
    <s v="7 days ago"/>
    <s v="London, GB"/>
    <s v="Energy"/>
    <s v="Public"/>
    <x v="281"/>
    <s v="['git', 'r', 'python', 'sql', 'azure']"/>
  </r>
  <r>
    <x v="1"/>
    <x v="0"/>
    <x v="0"/>
    <x v="284"/>
    <s v="Pittsburgh, PA . Hybrid"/>
    <s v="7 days ago"/>
    <s v="Maplewood, MN, US"/>
    <s v="Healthcare"/>
    <s v="Public"/>
    <x v="282"/>
    <s v="['pytorch', 'aws', 'python', 'machine learning', 'deep learning']"/>
  </r>
  <r>
    <x v="0"/>
    <x v="1"/>
    <x v="1"/>
    <x v="90"/>
    <s v="New York, NY"/>
    <s v="5 days ago"/>
    <s v="New York, NY, US"/>
    <s v="Retail"/>
    <s v="Public"/>
    <x v="87"/>
    <s v="['sql', 'machine learning', 'r', 'python']"/>
  </r>
  <r>
    <x v="0"/>
    <x v="0"/>
    <x v="1"/>
    <x v="7"/>
    <s v="Los Angeles County, CA"/>
    <s v="7 days ago"/>
    <s v="Menlo Park, CA, US"/>
    <s v="Technology"/>
    <s v="Public"/>
    <x v="7"/>
    <s v="['pandas', 'numpy', 'pytorch', 'aws', 'scikit-learn', 'python', 'scipy', 'sql', 'machine learning', 'gcp', 'azure', 'tensorflow']"/>
  </r>
  <r>
    <x v="0"/>
    <x v="0"/>
    <x v="1"/>
    <x v="65"/>
    <s v="Arlington, VA . Bellevue, WA"/>
    <s v="a day ago"/>
    <s v="Seattle, WA, US"/>
    <s v="Retail"/>
    <s v="Public"/>
    <x v="283"/>
    <s v="['amazon', 'aws', 'r', 'python', 'sql', 'machine learning', 'tableau']"/>
  </r>
  <r>
    <x v="0"/>
    <x v="0"/>
    <x v="1"/>
    <x v="308"/>
    <s v="Princeton, NJ . New York, NY"/>
    <s v="19 days ago"/>
    <s v="New York, NY, US"/>
    <s v="Technology"/>
    <s v="Public"/>
    <x v="284"/>
    <s v="['pytorch', 'python', 'machine learning', 'keras', 'deep learning', 'tensorflow']"/>
  </r>
  <r>
    <x v="0"/>
    <x v="3"/>
    <x v="1"/>
    <x v="126"/>
    <s v="Chennai, Tamil Nadu, India . Hyderabad, Telangana, India"/>
    <s v="a month ago"/>
    <s v="Charlotte, NC, US"/>
    <s v="Finance"/>
    <s v="Public"/>
    <x v="123"/>
    <s v="['hadoop', 'git', 'gcp', 'python']"/>
  </r>
  <r>
    <x v="0"/>
    <x v="0"/>
    <x v="2"/>
    <x v="329"/>
    <s v="Washington, United States"/>
    <s v="7 days ago"/>
    <s v="Renton, WA, US"/>
    <s v="Healthcare"/>
    <s v="Private"/>
    <x v="285"/>
    <s v="['r', 'python', 'scala', 'sql', 'machine learning', 'database', 'azure', 'tableau']"/>
  </r>
  <r>
    <x v="0"/>
    <x v="0"/>
    <x v="2"/>
    <x v="68"/>
    <s v="Fort Worth, TX"/>
    <s v="14 days ago"/>
    <s v="Bethesda, MD, US"/>
    <s v="Technology"/>
    <s v="Public"/>
    <x v="136"/>
    <s v="['machine learning']"/>
  </r>
  <r>
    <x v="0"/>
    <x v="0"/>
    <x v="1"/>
    <x v="118"/>
    <s v="New York, NY . Chicago, IL"/>
    <s v="4 days ago"/>
    <s v="Paris, FR"/>
    <s v="Healthcare"/>
    <s v="Private"/>
    <x v="286"/>
    <s v="['amazon', 'aws']"/>
  </r>
  <r>
    <x v="0"/>
    <x v="0"/>
    <x v="0"/>
    <x v="333"/>
    <s v="East Coast, United States . New York, United States . Hybrid"/>
    <s v="a month ago"/>
    <s v="Altrincham, GB"/>
    <s v="Healthcare"/>
    <s v="Private"/>
    <x v="11"/>
    <s v="['amazon', 'aws']"/>
  </r>
  <r>
    <x v="0"/>
    <x v="0"/>
    <x v="1"/>
    <x v="334"/>
    <s v="Mountain View, CA"/>
    <s v="21 days ago"/>
    <s v="Mountain View, CA, US"/>
    <s v="Technology"/>
    <s v="Public"/>
    <x v="287"/>
    <s v="['r', 'python', 'sql', 'machine learning', 'tableau']"/>
  </r>
  <r>
    <x v="0"/>
    <x v="3"/>
    <x v="2"/>
    <x v="335"/>
    <s v="Fully Remote"/>
    <s v="5 days ago"/>
    <s v="San Francisco, CA, US"/>
    <s v="Finance"/>
    <s v="Private"/>
    <x v="288"/>
    <s v="['amazon', 'aws']"/>
  </r>
  <r>
    <x v="0"/>
    <x v="1"/>
    <x v="0"/>
    <x v="336"/>
    <s v="Greater Birmingham, Alabama Area . Hybrid"/>
    <s v="14 days ago"/>
    <s v="Boulder, CO, US"/>
    <s v="Energy"/>
    <s v="Private"/>
    <x v="11"/>
    <s v="['amazon', 'aws']"/>
  </r>
  <r>
    <x v="0"/>
    <x v="0"/>
    <x v="0"/>
    <x v="217"/>
    <s v="Markham, Ontario, Canada . Toronto, Ontario, Canada . Hybrid"/>
    <s v="a month ago"/>
    <s v="London, GB"/>
    <s v="Finance"/>
    <s v="Public"/>
    <x v="289"/>
    <s v="['machine learning', 'python']"/>
  </r>
  <r>
    <x v="0"/>
    <x v="3"/>
    <x v="1"/>
    <x v="111"/>
    <s v="Springfield, VA"/>
    <s v="a month ago"/>
    <s v="Reston, VA, US"/>
    <s v="Technology"/>
    <s v="Public"/>
    <x v="290"/>
    <s v="['git', 'r', 'python', 'docker', 'linux', 'java', 'sql', 'database', 'deep learning']"/>
  </r>
  <r>
    <x v="0"/>
    <x v="0"/>
    <x v="2"/>
    <x v="241"/>
    <s v="Fully Remote"/>
    <s v="19 days ago"/>
    <s v="San Francisco, CA, US"/>
    <s v="Technology"/>
    <s v="Private"/>
    <x v="14"/>
    <s v="['amazon', 'aws']"/>
  </r>
  <r>
    <x v="0"/>
    <x v="0"/>
    <x v="1"/>
    <x v="163"/>
    <s v="Bellevue, WA . San Francisco, CA . Seattle, WA . Palo Alto, CA"/>
    <s v="14 days ago"/>
    <s v="San Francisco, CA, US"/>
    <s v="Technology"/>
    <s v="Public"/>
    <x v="291"/>
    <s v="['sql', 'r', 'python']"/>
  </r>
  <r>
    <x v="0"/>
    <x v="0"/>
    <x v="0"/>
    <x v="337"/>
    <s v="Cambridge, MA . Hybrid"/>
    <s v="16 days ago"/>
    <s v="Basel, BS, CH"/>
    <s v="Healthcare"/>
    <s v="Public"/>
    <x v="292"/>
    <s v="['python']"/>
  </r>
  <r>
    <x v="0"/>
    <x v="3"/>
    <x v="1"/>
    <x v="110"/>
    <s v="South San Francisco, CA . On-site"/>
    <s v="25 days ago"/>
    <s v="Kenilworth, NJ, US"/>
    <s v="Healthcare"/>
    <s v="Public"/>
    <x v="293"/>
    <s v="['machine learning', 'r', 'python']"/>
  </r>
  <r>
    <x v="0"/>
    <x v="0"/>
    <x v="0"/>
    <x v="88"/>
    <s v="Navi Mumbai, Maharashtra, India . Hybrid"/>
    <s v="7 days ago"/>
    <s v="Chicago, IL, US"/>
    <s v="Finance"/>
    <s v="Public"/>
    <x v="294"/>
    <s v="['python', 'neural network', 'sql', 'machine learning', 'deep learning']"/>
  </r>
  <r>
    <x v="0"/>
    <x v="3"/>
    <x v="1"/>
    <x v="133"/>
    <s v="Washington, DC . On-site"/>
    <s v="5 days ago"/>
    <s v="Reston, VA, US"/>
    <s v="Technology"/>
    <s v="Public"/>
    <x v="295"/>
    <s v="['python']"/>
  </r>
  <r>
    <x v="0"/>
    <x v="3"/>
    <x v="0"/>
    <x v="316"/>
    <s v="Pittsburgh, PA . Hybrid"/>
    <s v="a month ago"/>
    <s v="Pittsburgh, PA, US"/>
    <s v="Education"/>
    <s v="Private"/>
    <x v="296"/>
    <s v="['database', 'sql', 'r', 'python']"/>
  </r>
  <r>
    <x v="0"/>
    <x v="0"/>
    <x v="1"/>
    <x v="323"/>
    <s v="On-site"/>
    <s v="2 days ago"/>
    <s v="Ventura, CA, US"/>
    <s v="Technology"/>
    <s v="Public"/>
    <x v="57"/>
    <s v="['amazon', 'aws']"/>
  </r>
  <r>
    <x v="0"/>
    <x v="3"/>
    <x v="0"/>
    <x v="338"/>
    <s v="Bangalore, Karnataka, India . Hybrid"/>
    <s v="10 months ago"/>
    <s v="Edison, NJ, US"/>
    <s v="Technology"/>
    <s v="Private"/>
    <x v="197"/>
    <s v="['amazon', 'aws']"/>
  </r>
  <r>
    <x v="0"/>
    <x v="0"/>
    <x v="1"/>
    <x v="78"/>
    <s v="Veldhoven, North Brabant, Netherlands"/>
    <s v="14 days ago"/>
    <s v="Veldhoven, NB, NL"/>
    <s v="Technology"/>
    <s v="Public"/>
    <x v="297"/>
    <s v="['amazon', 'aws']"/>
  </r>
  <r>
    <x v="0"/>
    <x v="0"/>
    <x v="1"/>
    <x v="339"/>
    <s v="San Antonio, TX"/>
    <s v="14 days ago"/>
    <s v="San Antonio, TX, US"/>
    <s v="Retail"/>
    <s v="Private"/>
    <x v="298"/>
    <s v="['spark', 'r', 'python', 'docker', 'scala', 'java', 'sql', 'machine learning', 'kubernetes', 'deep learning', 'tensorflow']"/>
  </r>
  <r>
    <x v="0"/>
    <x v="1"/>
    <x v="1"/>
    <x v="340"/>
    <s v="Bangkok, Bangkok, Thailand . On-site"/>
    <s v="a month ago"/>
    <s v="Singapore, SG"/>
    <s v="Technology"/>
    <s v="Private"/>
    <x v="299"/>
    <s v="['amazon', 'aws']"/>
  </r>
  <r>
    <x v="0"/>
    <x v="0"/>
    <x v="1"/>
    <x v="143"/>
    <s v="Hyderabad, Telangana, India"/>
    <s v="4 days ago"/>
    <s v="Redmond, WA, US"/>
    <s v="Technology"/>
    <s v="Public"/>
    <x v="300"/>
    <s v="['pytorch', 'spark', 'r', 'python', 'scikit-learn', 'scala', 'machine learning', 'deep learning', 'hadoop', 'azure', 'tensorflow']"/>
  </r>
  <r>
    <x v="0"/>
    <x v="0"/>
    <x v="2"/>
    <x v="15"/>
    <s v="Remote, United States . Fully Remote"/>
    <s v="14 days ago"/>
    <s v="San Francisco, CA, US"/>
    <s v="Finance"/>
    <s v="Private"/>
    <x v="15"/>
    <s v="['amazon', 'aws']"/>
  </r>
  <r>
    <x v="0"/>
    <x v="1"/>
    <x v="0"/>
    <x v="338"/>
    <s v="Bangalore, Karnataka, India . Hybrid"/>
    <s v="a month ago"/>
    <s v="Edison, NJ, US"/>
    <s v="Technology"/>
    <s v="Private"/>
    <x v="301"/>
    <s v="['amazon', 'aws']"/>
  </r>
  <r>
    <x v="0"/>
    <x v="0"/>
    <x v="1"/>
    <x v="285"/>
    <s v="San Francisco, CA"/>
    <s v="2 months ago"/>
    <s v="San Francisco, CA, US"/>
    <s v="Finance"/>
    <s v="Private"/>
    <x v="144"/>
    <s v="['amazon', 'machine learning']"/>
  </r>
  <r>
    <x v="0"/>
    <x v="1"/>
    <x v="2"/>
    <x v="341"/>
    <s v="Cardiff, London or Remote (UK) . Fully Remote"/>
    <s v="3 months ago"/>
    <s v="London, GB"/>
    <s v="Technology"/>
    <s v="Private"/>
    <x v="302"/>
    <s v="['amazon', 'aws']"/>
  </r>
  <r>
    <x v="0"/>
    <x v="0"/>
    <x v="1"/>
    <x v="60"/>
    <s v="Louisville, KY"/>
    <s v="14 days ago"/>
    <s v="Dearborn, MI, US"/>
    <s v="Technology"/>
    <s v="Public"/>
    <x v="303"/>
    <s v="['pandas', 'numpy', 'pytorch', 'git', 'r', 'python', 'scikit-learn', 'sql', 'gcp', 'machine learning', 'tensorflow', 'tableau']"/>
  </r>
  <r>
    <x v="0"/>
    <x v="0"/>
    <x v="1"/>
    <x v="342"/>
    <s v="Oklahoma City, OK"/>
    <s v="7 days ago"/>
    <s v="Oklahoma City, OK, US"/>
    <s v="Technology"/>
    <s v="Public"/>
    <x v="32"/>
    <s v="['machine learning']"/>
  </r>
  <r>
    <x v="0"/>
    <x v="0"/>
    <x v="1"/>
    <x v="343"/>
    <s v="St Louis, MO"/>
    <s v="a month ago"/>
    <s v="Brentwood, MO, US"/>
    <s v="Retail"/>
    <s v="Public"/>
    <x v="304"/>
    <s v="['pandas', 'amazon', 'powerbi', 'git', 'r', 'python', 'scipy', 'sql', 'machine learning', 'database', 'azure', 'matplotlib', 'tableau']"/>
  </r>
  <r>
    <x v="0"/>
    <x v="0"/>
    <x v="1"/>
    <x v="289"/>
    <s v="San Francisco, CA . On-site"/>
    <s v="4 months ago"/>
    <s v="San Francisco, CA, US"/>
    <s v="Technology"/>
    <s v="Private"/>
    <x v="144"/>
    <s v="['amazon', 'aws']"/>
  </r>
  <r>
    <x v="0"/>
    <x v="0"/>
    <x v="0"/>
    <x v="344"/>
    <s v="Mountain View, CA, US . San Francisco, CA, US . Hybrid"/>
    <s v="9 days ago"/>
    <s v="Mountain View, CA, US"/>
    <s v="Technology"/>
    <s v="Private"/>
    <x v="188"/>
    <s v="['amazon', 'aws']"/>
  </r>
  <r>
    <x v="0"/>
    <x v="0"/>
    <x v="0"/>
    <x v="345"/>
    <s v="Madrid, Community of Madrid, Spain . Hybrid"/>
    <s v="21 days ago"/>
    <s v="Paris, IDF, FR"/>
    <s v="Technology"/>
    <s v="Private"/>
    <x v="305"/>
    <s v="['pandas', 'numpy', 'aws', 'r', 'python', 'scikit-learn', 'machine learning', 'gcp', 'deep learning', 'azure', 'matplotlib']"/>
  </r>
  <r>
    <x v="0"/>
    <x v="0"/>
    <x v="0"/>
    <x v="346"/>
    <s v="Chicago, Illinois, United States . New York, New York, United States . Hybrid"/>
    <s v="13 days ago"/>
    <s v="Chicago, IL, US"/>
    <s v="Technology"/>
    <s v="Private"/>
    <x v="58"/>
    <s v="['amazon', 'aws']"/>
  </r>
  <r>
    <x v="0"/>
    <x v="1"/>
    <x v="1"/>
    <x v="112"/>
    <s v="San Antonio, TX"/>
    <s v="7 days ago"/>
    <s v="San Antonio, TX, US"/>
    <s v="Finance"/>
    <s v="Private"/>
    <x v="306"/>
    <s v="['r', 'python', 'sql', 'database', 'machine learning']"/>
  </r>
  <r>
    <x v="0"/>
    <x v="1"/>
    <x v="1"/>
    <x v="347"/>
    <s v="San Francisco, CA"/>
    <s v="7 days ago"/>
    <s v="San Francisco, CA, US"/>
    <s v="Technology"/>
    <s v="Private"/>
    <x v="14"/>
    <s v="['pytorch', 'aws', 'machine learning', 'azure', 'deep learning', 'tensorflow']"/>
  </r>
  <r>
    <x v="0"/>
    <x v="0"/>
    <x v="1"/>
    <x v="91"/>
    <s v="Linthicum Heights, MD . On-site"/>
    <s v="7 days ago"/>
    <s v="Falls Church, VA, US"/>
    <s v="Technology"/>
    <s v="Public"/>
    <x v="171"/>
    <s v="['pandas', 'numpy', 'python', 'sql', 'database', 'matplotlib', 'tableau']"/>
  </r>
  <r>
    <x v="0"/>
    <x v="2"/>
    <x v="1"/>
    <x v="348"/>
    <s v="Atlanta, GA"/>
    <s v="11 days ago"/>
    <s v="Atlanta, GA, US"/>
    <s v="Finance"/>
    <s v="Public"/>
    <x v="307"/>
    <s v="['sql', 'machine learning', 'r', 'python']"/>
  </r>
  <r>
    <x v="0"/>
    <x v="0"/>
    <x v="1"/>
    <x v="349"/>
    <s v="Santa Clara, CA . On-site"/>
    <s v="15 days ago"/>
    <s v="Santa Clara, CA, US"/>
    <s v="Technology"/>
    <s v="Private"/>
    <x v="212"/>
    <s v="['amazon', 'aws']"/>
  </r>
  <r>
    <x v="0"/>
    <x v="3"/>
    <x v="1"/>
    <x v="312"/>
    <s v="Stamford, CT"/>
    <s v="21 days ago"/>
    <s v="Stamford, CT, US"/>
    <s v="Technology"/>
    <s v="Public"/>
    <x v="308"/>
    <s v="['spark', 'r', 'python', 'sql', 'machine learning']"/>
  </r>
  <r>
    <x v="0"/>
    <x v="0"/>
    <x v="1"/>
    <x v="189"/>
    <s v="Englewood, CO . On-site"/>
    <s v="14 days ago"/>
    <s v="Englewood, CO, US"/>
    <s v="Technology"/>
    <s v="Public"/>
    <x v="117"/>
    <s v="['amazon', 'r', 'python', 'sql', 'database', 'machine learning', 'tableau']"/>
  </r>
  <r>
    <x v="0"/>
    <x v="3"/>
    <x v="1"/>
    <x v="350"/>
    <s v="Princeton, NJ"/>
    <s v="15 days ago"/>
    <s v="Princeton, NJ, US"/>
    <s v="Healthcare"/>
    <s v="Public"/>
    <x v="197"/>
    <s v="['sql', 'r', 'python']"/>
  </r>
  <r>
    <x v="0"/>
    <x v="3"/>
    <x v="1"/>
    <x v="351"/>
    <s v="San Francisco, CA . San Jose, CA . Seattle, WA"/>
    <s v="2 days ago"/>
    <s v="San Jose, CA, US"/>
    <s v="Technology"/>
    <s v="Public"/>
    <x v="309"/>
    <s v="['spark', 'python', 'sql', 'hadoop', 'machine learning']"/>
  </r>
  <r>
    <x v="0"/>
    <x v="0"/>
    <x v="1"/>
    <x v="352"/>
    <s v="Madrid, Community of Madrid, Spain"/>
    <s v="23 days ago"/>
    <s v="Birmingham, AL, US"/>
    <s v="Finance"/>
    <s v="Public"/>
    <x v="310"/>
    <s v="['pandas', 'numpy', 'pytorch', 'aws', 'scikit-learn', 'python', 'docker', 'sql', 'machine learning', 'kubernetes', 'azure', 'tensorflow']"/>
  </r>
  <r>
    <x v="0"/>
    <x v="0"/>
    <x v="1"/>
    <x v="353"/>
    <s v="United States"/>
    <s v="a month ago"/>
    <s v="San Diego, CA, US"/>
    <s v="Retail"/>
    <s v="Public"/>
    <x v="311"/>
    <s v="['aws', 'scikit-learn', 'python', 'sql', 'machine learning', 'gcp', 'azure']"/>
  </r>
  <r>
    <x v="0"/>
    <x v="3"/>
    <x v="0"/>
    <x v="180"/>
    <s v="Boston, MA . Hybrid"/>
    <s v="8 days ago"/>
    <s v="Boston, MA, US"/>
    <s v="Retail"/>
    <s v="Public"/>
    <x v="287"/>
    <s v="['amazon', 'aws']"/>
  </r>
  <r>
    <x v="0"/>
    <x v="0"/>
    <x v="1"/>
    <x v="252"/>
    <s v="Queenstown, Central Singapore Community Development Council, Singapore"/>
    <s v="a month ago"/>
    <s v="Singapore, SG"/>
    <s v="Education"/>
    <s v="Private"/>
    <x v="36"/>
    <s v="['neural network', 'machine learning', 'r', 'python']"/>
  </r>
  <r>
    <x v="1"/>
    <x v="0"/>
    <x v="1"/>
    <x v="354"/>
    <s v="Newport Beach, CA . ÐÑŒÑŽÐ¿Ð¾Ñ€Ñ‚-Ð‘Ð¸Ñ‡, ÐšÐ°Ð»Ð¸Ñ„Ð¾Ñ€Ð½Ð¸Ñ, Ð¡Ð¾ÐµÐ´Ð¸Ð½ÐµÐ½Ð½Ñ‹Ðµ Ð¨Ñ‚Ð°Ñ‚Ñ‹ ÐÐ¼ÐµÑ€Ð¸ÐºÐ¸"/>
    <s v="18 days ago"/>
    <s v="Walldorf, BW, DE"/>
    <s v="Technology"/>
    <s v="Public"/>
    <x v="312"/>
    <s v="['pytorch', 'machine learning', 'database', 'deep learning', 'tensorflow']"/>
  </r>
  <r>
    <x v="0"/>
    <x v="1"/>
    <x v="2"/>
    <x v="113"/>
    <s v="Canada . Fully Remote"/>
    <s v="2 days ago"/>
    <s v="Miami, FL, US"/>
    <s v="Technology"/>
    <s v="Private"/>
    <x v="66"/>
    <s v="['sql', 'machine learning']"/>
  </r>
  <r>
    <x v="0"/>
    <x v="0"/>
    <x v="0"/>
    <x v="355"/>
    <s v="San Diego, CA . Hybrid"/>
    <s v="3 months ago"/>
    <s v="Minato City, JP"/>
    <s v="Technology"/>
    <s v="Public"/>
    <x v="313"/>
    <s v="['pandas', 'numpy', 'scikit-learn', 'python', 'sql', 'machine learning', 'deep learning']"/>
  </r>
  <r>
    <x v="0"/>
    <x v="3"/>
    <x v="0"/>
    <x v="32"/>
    <s v="Manchester, England, United Kingdom . Hybrid"/>
    <s v="7 days ago"/>
    <s v="Manchester, GB"/>
    <s v="Technology"/>
    <s v="Public"/>
    <x v="219"/>
    <s v="['airflow', 'spark', 'machine learning', 'python']"/>
  </r>
  <r>
    <x v="0"/>
    <x v="0"/>
    <x v="1"/>
    <x v="169"/>
    <s v="Columbia, MD"/>
    <s v="4 days ago"/>
    <s v="Columbia, MD, US"/>
    <s v="Technology"/>
    <s v="Private"/>
    <x v="93"/>
    <s v="['spark', 'aws', 'python', 'sql', 'machine learning', 'gcp', 'azure']"/>
  </r>
  <r>
    <x v="0"/>
    <x v="0"/>
    <x v="1"/>
    <x v="135"/>
    <s v="Bengaluru East, Karnataka, India"/>
    <s v="4 days ago"/>
    <s v="Bengaluru, KA, IN"/>
    <s v="Technology"/>
    <s v="Public"/>
    <x v="314"/>
    <s v="['aws', 'r', 'python', 'sql', 'neural network', 'gcp', 'azure']"/>
  </r>
  <r>
    <x v="0"/>
    <x v="0"/>
    <x v="0"/>
    <x v="144"/>
    <s v="New York, United States . Hybrid"/>
    <s v="5 days ago"/>
    <s v="New York, NY, US"/>
    <s v="Technology"/>
    <s v="Private"/>
    <x v="276"/>
    <s v="['pandas', 'pytorch', 'aws', 'r', 'python', 'sql', 'machine learning', 'deep learning']"/>
  </r>
  <r>
    <x v="0"/>
    <x v="0"/>
    <x v="0"/>
    <x v="356"/>
    <s v="Bethesda, MD . Hybrid"/>
    <s v="14 days ago"/>
    <s v="Reston, VA, US"/>
    <s v="Technology"/>
    <s v="Private"/>
    <x v="315"/>
    <s v="['sql', 'r', 'python']"/>
  </r>
  <r>
    <x v="1"/>
    <x v="0"/>
    <x v="1"/>
    <x v="357"/>
    <s v="Brooklyn, NY"/>
    <s v="3 months ago"/>
    <s v="NY, US"/>
    <s v="Energy"/>
    <s v="Public"/>
    <x v="316"/>
    <s v="['spark', 'python', 'scala', 'java', 'airflow', 'gcp', 'machine learning', 'tensorflow']"/>
  </r>
  <r>
    <x v="1"/>
    <x v="3"/>
    <x v="1"/>
    <x v="146"/>
    <s v="San Francisco, CA . Seattle, WA . New York, NY . On-site"/>
    <s v="6 days ago"/>
    <s v="Montreal, QC, CA"/>
    <s v="Technology"/>
    <s v="Private"/>
    <x v="138"/>
    <s v="['amazon', 'aws']"/>
  </r>
  <r>
    <x v="0"/>
    <x v="0"/>
    <x v="1"/>
    <x v="301"/>
    <s v="Hillsboro, OR . Portland, OR . Lake Oswego, OR"/>
    <s v="14 days ago"/>
    <s v="Roseburg, OR, US"/>
    <s v="Finance"/>
    <s v="Public"/>
    <x v="251"/>
    <s v="['aws', 'r', 'python', 'sql', 'machine learning', 'azure']"/>
  </r>
  <r>
    <x v="0"/>
    <x v="0"/>
    <x v="1"/>
    <x v="358"/>
    <s v="Fort Worth, TX"/>
    <s v="7 days ago"/>
    <s v="Benbrook, TX, US"/>
    <s v="Technology"/>
    <s v="Private"/>
    <x v="317"/>
    <s v="['machine learning']"/>
  </r>
  <r>
    <x v="0"/>
    <x v="0"/>
    <x v="1"/>
    <x v="359"/>
    <s v="Annapolis Junction, MD"/>
    <s v="3 months ago"/>
    <s v="Centreville, VA, US"/>
    <s v="Technology"/>
    <s v="Public"/>
    <x v="318"/>
    <s v="['sql', 'machine learning', 'r', 'python']"/>
  </r>
  <r>
    <x v="0"/>
    <x v="0"/>
    <x v="1"/>
    <x v="360"/>
    <s v="Dallas, TX"/>
    <s v="14 days ago"/>
    <s v="Dallas, TX, US"/>
    <s v="Finance"/>
    <s v="Public"/>
    <x v="319"/>
    <s v="['sql', 'machine learning', 'python']"/>
  </r>
  <r>
    <x v="1"/>
    <x v="0"/>
    <x v="1"/>
    <x v="171"/>
    <s v="South San Francisco, CA"/>
    <s v="7 days ago"/>
    <s v="South San Francisco, CA, US"/>
    <s v="Healthcare"/>
    <s v="Private"/>
    <x v="172"/>
    <s v="['pytorch', 'deep learning', 'machine learning', 'python']"/>
  </r>
  <r>
    <x v="0"/>
    <x v="0"/>
    <x v="0"/>
    <x v="59"/>
    <s v="Bengaluru, Karnataka, India . Hybrid"/>
    <s v="7 days ago"/>
    <s v="Frankfurt am Main, HE, DE"/>
    <s v="Finance"/>
    <s v="Public"/>
    <x v="320"/>
    <s v="['pytorch', 'aws', 'python', 'sql', 'gcp', 'azure', 'tensorflow']"/>
  </r>
  <r>
    <x v="0"/>
    <x v="0"/>
    <x v="1"/>
    <x v="149"/>
    <s v="Alpharetta, GA"/>
    <s v="14 days ago"/>
    <s v="Roseland, NJ, US"/>
    <s v="Technology"/>
    <s v="Public"/>
    <x v="321"/>
    <s v="['aws', 'powerbi', 'r', 'python', 'sql', 'machine learning', 'tableau']"/>
  </r>
  <r>
    <x v="0"/>
    <x v="3"/>
    <x v="1"/>
    <x v="50"/>
    <s v="New York, New York, United States . On-site"/>
    <s v="a month ago"/>
    <s v="San Francisco, CA, US"/>
    <s v="Finance"/>
    <s v="Private"/>
    <x v="50"/>
    <s v="['amazon', 'aws']"/>
  </r>
  <r>
    <x v="0"/>
    <x v="0"/>
    <x v="0"/>
    <x v="70"/>
    <s v="Toronto, ON . Hybrid"/>
    <s v="12 days ago"/>
    <s v="San Francisco, CA, US"/>
    <s v="Finance"/>
    <s v="Private"/>
    <x v="73"/>
    <s v="['amazon', 'aws']"/>
  </r>
  <r>
    <x v="0"/>
    <x v="3"/>
    <x v="0"/>
    <x v="43"/>
    <s v="Toronto, Canada . Hybrid"/>
    <s v="7 days ago"/>
    <s v="San Francisco, CA, US"/>
    <s v="Technology"/>
    <s v="Public"/>
    <x v="322"/>
    <s v="['amazon', 'aws']"/>
  </r>
  <r>
    <x v="0"/>
    <x v="0"/>
    <x v="1"/>
    <x v="136"/>
    <s v="Bengaluru, Karnataka, India"/>
    <s v="5 months ago"/>
    <s v="Bengaluru, KA, IN"/>
    <s v="Technology"/>
    <s v="Private"/>
    <x v="323"/>
    <s v="['deep learning', 'machine learning', 'python']"/>
  </r>
  <r>
    <x v="0"/>
    <x v="0"/>
    <x v="1"/>
    <x v="2"/>
    <s v="Vancouver, British Columbia, Canada . Marina del Rey, CA . Los Angeles Metropolitan Area . Kirkland, WA . Redwood City, CA"/>
    <s v="7 days ago"/>
    <s v="Redwood City, CA, US"/>
    <s v="Technology"/>
    <s v="Public"/>
    <x v="324"/>
    <s v="['git', 'python', 'docker', 'sql', 'machine learning', 'kubernetes', 'deep learning']"/>
  </r>
  <r>
    <x v="1"/>
    <x v="0"/>
    <x v="1"/>
    <x v="66"/>
    <s v="Taipei, Taiwan . On-site"/>
    <s v="2 months ago"/>
    <s v="TW"/>
    <s v="Technology"/>
    <s v="Private"/>
    <x v="70"/>
    <s v="['amazon', 'aws']"/>
  </r>
  <r>
    <x v="0"/>
    <x v="1"/>
    <x v="0"/>
    <x v="361"/>
    <s v="United States . Hybrid"/>
    <s v="3 months ago"/>
    <s v="Buffalo, NY, US"/>
    <s v="Finance"/>
    <s v="Public"/>
    <x v="325"/>
    <s v="['python', 'neural network', 'sql', 'database', 'machine learning', 'tableau']"/>
  </r>
  <r>
    <x v="0"/>
    <x v="0"/>
    <x v="1"/>
    <x v="178"/>
    <s v="United States"/>
    <s v="a month ago"/>
    <s v="Jacksonville, FL, US"/>
    <s v="Finance"/>
    <s v="Public"/>
    <x v="326"/>
    <s v="['spark', 'aws', 'python', 'sql', 'machine learning', 'gcp', 'azure']"/>
  </r>
  <r>
    <x v="0"/>
    <x v="0"/>
    <x v="1"/>
    <x v="24"/>
    <s v="Gurugram, Haryana, India"/>
    <s v="7 days ago"/>
    <s v="Bengaluru, KA, IN"/>
    <s v="Technology"/>
    <s v="Public"/>
    <x v="327"/>
    <s v="['aws', 'machine learning']"/>
  </r>
  <r>
    <x v="0"/>
    <x v="1"/>
    <x v="1"/>
    <x v="362"/>
    <s v="New York, NY"/>
    <s v="a month ago"/>
    <s v="Milwaukee, WI, US"/>
    <s v="Finance"/>
    <s v="Private"/>
    <x v="328"/>
    <s v="['spark', 'r', 'python', 'java', 'sql', 'machine learning']"/>
  </r>
  <r>
    <x v="0"/>
    <x v="1"/>
    <x v="2"/>
    <x v="10"/>
    <s v="Atlanta, GA"/>
    <s v="3 days ago"/>
    <s v="Charlotte, NC, US"/>
    <s v="Technology"/>
    <s v="Public"/>
    <x v="68"/>
    <s v="['pytorch', 'spark', 'aws', 'python', 'machine learning', 'gcp', 'deep learning', 'keras', 'azure', 'tensorflow']"/>
  </r>
  <r>
    <x v="0"/>
    <x v="0"/>
    <x v="1"/>
    <x v="363"/>
    <s v="Bengaluru East, Karnataka, India"/>
    <s v="7 days ago"/>
    <s v="Scottsdale, AZ, US"/>
    <s v="Technology"/>
    <s v="Private"/>
    <x v="329"/>
    <s v="['pandas', 'numpy', 'pytorch', 'spark', 'git', 'python', 'docker', 'database', 'deep learning', 'sql', 'machine learning', 'gcp', 'kubernetes', 'keras', 'azure', 'matplotlib', 'tensorflow']"/>
  </r>
  <r>
    <x v="0"/>
    <x v="0"/>
    <x v="1"/>
    <x v="170"/>
    <s v="On-site"/>
    <s v="a month ago"/>
    <s v="New York, NY, US"/>
    <s v="Technology"/>
    <s v="Private"/>
    <x v="58"/>
    <s v="['amazon', 'aws']"/>
  </r>
  <r>
    <x v="0"/>
    <x v="3"/>
    <x v="1"/>
    <x v="179"/>
    <s v="McLean, VA"/>
    <s v="18 days ago"/>
    <s v="McLean, VA, US"/>
    <s v="Retail"/>
    <s v="Public"/>
    <x v="330"/>
    <s v="['spark', 'aws', 'r', 'python', 'scala', 'sql', 'machine learning', 'database', 'deep learning']"/>
  </r>
  <r>
    <x v="0"/>
    <x v="3"/>
    <x v="1"/>
    <x v="364"/>
    <s v="Los Angeles Metropolitan Area . On-site"/>
    <s v="14 days ago"/>
    <s v="Los Angeles, CA, US"/>
    <s v="Technology"/>
    <s v="Public"/>
    <x v="317"/>
    <s v="['machine learning', 'python']"/>
  </r>
  <r>
    <x v="0"/>
    <x v="0"/>
    <x v="2"/>
    <x v="365"/>
    <s v="Maryland, United States"/>
    <s v="14 days ago"/>
    <s v="London, GB"/>
    <s v="Technology"/>
    <s v="Public"/>
    <x v="331"/>
    <s v="['pytorch', 'aws', 'r', 'python', 'machine learning', 'gcp', 'azure', 'tensorflow']"/>
  </r>
  <r>
    <x v="0"/>
    <x v="1"/>
    <x v="1"/>
    <x v="366"/>
    <s v="United States"/>
    <s v="a month ago"/>
    <s v="Columbus, OH, US"/>
    <s v="Technology"/>
    <s v="Public"/>
    <x v="332"/>
    <s v="['sql', 'machine learning', 'r', 'python']"/>
  </r>
  <r>
    <x v="0"/>
    <x v="0"/>
    <x v="0"/>
    <x v="367"/>
    <s v="Bengaluru, Karnataka, India"/>
    <s v="10 days ago"/>
    <s v="Mountain View, CA, US"/>
    <s v="Technology"/>
    <s v="Public"/>
    <x v="333"/>
    <s v="['pandas', 'r', 'python', 'sql', 'database']"/>
  </r>
  <r>
    <x v="0"/>
    <x v="0"/>
    <x v="0"/>
    <x v="81"/>
    <s v="Hyderabad, Telangana, India"/>
    <s v="15 days ago"/>
    <s v="Armonk, NY, US"/>
    <s v="Technology"/>
    <s v="Public"/>
    <x v="81"/>
    <s v="['database', 'machine learning', 'java']"/>
  </r>
  <r>
    <x v="0"/>
    <x v="0"/>
    <x v="1"/>
    <x v="145"/>
    <s v="Doral, FL"/>
    <s v="3 months ago"/>
    <s v="Arlington, VA, US"/>
    <s v="Technology"/>
    <s v="Public"/>
    <x v="334"/>
    <s v="['r', 'python', 'linux', 'java', 'sql', 'machine learning', 'database', 'deep learning']"/>
  </r>
  <r>
    <x v="0"/>
    <x v="3"/>
    <x v="0"/>
    <x v="42"/>
    <s v="Vancouver, British Columbia, Canada . Hybrid"/>
    <s v="5 days ago"/>
    <s v="Toronto, ON, CA"/>
    <s v="Finance"/>
    <s v="Public"/>
    <x v="335"/>
    <s v="['pytorch', 'aws', 'scikit-learn', 'python', 'machine learning']"/>
  </r>
  <r>
    <x v="0"/>
    <x v="0"/>
    <x v="2"/>
    <x v="303"/>
    <s v="United States"/>
    <s v="14 days ago"/>
    <s v="Omaha, NE, US"/>
    <s v="Technology"/>
    <s v="Private"/>
    <x v="144"/>
    <s v="['sql', 'machine learning', 'python']"/>
  </r>
  <r>
    <x v="0"/>
    <x v="0"/>
    <x v="0"/>
    <x v="368"/>
    <s v="Columbus, OH . Hybrid"/>
    <s v="10 days ago"/>
    <s v="Hartford, CT, US"/>
    <s v="Finance"/>
    <s v="Public"/>
    <x v="336"/>
    <s v="['machine learning']"/>
  </r>
  <r>
    <x v="0"/>
    <x v="0"/>
    <x v="2"/>
    <x v="369"/>
    <s v="Washington DC-Baltimore Area . Fully Remote"/>
    <s v="a month ago"/>
    <s v="Mountain View, CA, US"/>
    <s v="Technology"/>
    <s v="Private"/>
    <x v="127"/>
    <s v="['aws', 'python', 'machine learning', 'gcp', 'kubernetes', 'azure']"/>
  </r>
  <r>
    <x v="0"/>
    <x v="0"/>
    <x v="1"/>
    <x v="370"/>
    <s v="United States, Denver . On-site"/>
    <s v="22 days ago"/>
    <s v="New York, NY, US"/>
    <s v="Technology"/>
    <s v="Private"/>
    <x v="7"/>
    <s v="['amazon', 'aws']"/>
  </r>
  <r>
    <x v="0"/>
    <x v="0"/>
    <x v="1"/>
    <x v="371"/>
    <s v="Lexington, MA"/>
    <s v="8 days ago"/>
    <s v="Heerlen, LI, NL"/>
    <s v="Technology"/>
    <s v="Private"/>
    <x v="189"/>
    <s v="['aws', 'git', 'r', 'python', 'docker']"/>
  </r>
  <r>
    <x v="0"/>
    <x v="3"/>
    <x v="1"/>
    <x v="50"/>
    <s v="New York, New York, United States . On-site"/>
    <s v="a month ago"/>
    <s v="San Francisco, CA, US"/>
    <s v="Finance"/>
    <s v="Private"/>
    <x v="50"/>
    <s v="['amazon', 'aws']"/>
  </r>
  <r>
    <x v="0"/>
    <x v="3"/>
    <x v="2"/>
    <x v="188"/>
    <s v="Charlotte, AR . Fully Remote"/>
    <s v="14 days ago"/>
    <s v="Cheyenne, WY, US"/>
    <s v="Technology"/>
    <s v="Private"/>
    <x v="189"/>
    <s v="['sql', 'machine learning', 'python']"/>
  </r>
  <r>
    <x v="0"/>
    <x v="3"/>
    <x v="0"/>
    <x v="43"/>
    <s v="Toronto, Canada . Hybrid"/>
    <s v="7 days ago"/>
    <s v="San Francisco, CA, US"/>
    <s v="Technology"/>
    <s v="Public"/>
    <x v="322"/>
    <s v="['amazon', 'aws']"/>
  </r>
  <r>
    <x v="0"/>
    <x v="0"/>
    <x v="0"/>
    <x v="372"/>
    <s v="Gainesville, FL"/>
    <s v="3 months ago"/>
    <s v="Gainesville, FL, US"/>
    <s v="Education"/>
    <s v="Private"/>
    <x v="337"/>
    <s v="['pandas', 'numpy', 'pytorch', 'r', 'python', 'scikit-learn', 'scipy', 'machine learning', 'keras', 'deep learning', 'tensorflow']"/>
  </r>
  <r>
    <x v="0"/>
    <x v="0"/>
    <x v="0"/>
    <x v="373"/>
    <s v="San Francisco Bay Area . Hybrid"/>
    <s v="a month ago"/>
    <s v="Dublin 2, IE"/>
    <s v="Technology"/>
    <s v="Private"/>
    <x v="5"/>
    <s v="['pandas', 'spark', 'aws', 'r', 'python', 'scikit-learn', 'opencv', 'sql', 'machine learning', 'gcp', 'deep learning']"/>
  </r>
  <r>
    <x v="0"/>
    <x v="0"/>
    <x v="0"/>
    <x v="374"/>
    <s v="Barcelona, Catalonia, Spain"/>
    <s v="12 days ago"/>
    <s v="Barcelona, CT, ES"/>
    <s v="Technology"/>
    <s v="Private"/>
    <x v="230"/>
    <s v="['deep learning', 'aws', 'machine learning', 'python']"/>
  </r>
  <r>
    <x v="0"/>
    <x v="0"/>
    <x v="1"/>
    <x v="375"/>
    <s v="San Diego, CA"/>
    <s v="21 days ago"/>
    <s v="San Diego, CA, US"/>
    <s v="Healthcare"/>
    <s v="Private"/>
    <x v="302"/>
    <s v="['pytorch', 'python', 'java', 'sql', 'machine learning', 'deep learning', 'tensorflow']"/>
  </r>
  <r>
    <x v="0"/>
    <x v="0"/>
    <x v="1"/>
    <x v="376"/>
    <s v="Palo Alto, CA . Vancouver, WA . Spring, TX"/>
    <s v="25 days ago"/>
    <s v="Palo Alto, CA, US"/>
    <s v="Technology"/>
    <s v="Public"/>
    <x v="338"/>
    <s v="['sql', 'powerbi', 'machine learning', 'python']"/>
  </r>
  <r>
    <x v="0"/>
    <x v="0"/>
    <x v="0"/>
    <x v="377"/>
    <s v="Atlanta, GA"/>
    <s v="6 months ago"/>
    <s v="Atlanta, GA, US"/>
    <s v="Retail"/>
    <s v="Public"/>
    <x v="339"/>
    <s v="['sql', 'tableau', 'python']"/>
  </r>
  <r>
    <x v="0"/>
    <x v="0"/>
    <x v="0"/>
    <x v="3"/>
    <s v="San Jose, CA . Hybrid"/>
    <s v="3 months ago"/>
    <s v="San Jose, CA, US"/>
    <s v="Technology"/>
    <s v="Public"/>
    <x v="340"/>
    <s v="['sql', 'machine learning', 'python']"/>
  </r>
  <r>
    <x v="1"/>
    <x v="0"/>
    <x v="2"/>
    <x v="284"/>
    <s v="Maplewood, MN"/>
    <s v="a day ago"/>
    <s v="Maplewood, MN, US"/>
    <s v="Healthcare"/>
    <s v="Public"/>
    <x v="341"/>
    <s v="['machine learning', 'python']"/>
  </r>
  <r>
    <x v="0"/>
    <x v="0"/>
    <x v="2"/>
    <x v="79"/>
    <s v="Fully Remote"/>
    <s v="4 days ago"/>
    <s v="San Francisco, CA, US"/>
    <s v="Technology"/>
    <s v="Public"/>
    <x v="342"/>
    <s v="['amazon', 'aws']"/>
  </r>
  <r>
    <x v="1"/>
    <x v="2"/>
    <x v="0"/>
    <x v="378"/>
    <s v="Bengaluru, Karnataka, India"/>
    <s v="14 days ago"/>
    <s v="Dublin, IE"/>
    <s v="Technology"/>
    <s v="Public"/>
    <x v="343"/>
    <s v="['machine learning']"/>
  </r>
  <r>
    <x v="0"/>
    <x v="0"/>
    <x v="2"/>
    <x v="258"/>
    <s v="Denver, CO - Remote . Fully Remote"/>
    <s v="22 days ago"/>
    <s v="Denver, CO, US"/>
    <s v="Technology"/>
    <s v="Public"/>
    <x v="152"/>
    <s v="['amazon', 'aws']"/>
  </r>
  <r>
    <x v="0"/>
    <x v="0"/>
    <x v="0"/>
    <x v="379"/>
    <s v="Washington, DC . Hybrid"/>
    <s v="a month ago"/>
    <s v="MontrÃ©al, QC, CA"/>
    <s v="Technology"/>
    <s v="Public"/>
    <x v="344"/>
    <s v="['r', 'python', 'sql', 'machine learning', 'matplotlib', 'tableau']"/>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9">
  <r>
    <s v="Data Scientist"/>
    <x v="0"/>
    <x v="0"/>
    <x v="0"/>
    <s v="Grapevine, TX . Hybrid"/>
    <x v="0"/>
    <s v="Bentonville, AR, US"/>
    <x v="0"/>
    <x v="0"/>
    <n v="35244"/>
    <s v="['spark', 'r', 'python', 'scala', 'machine learning', 'tensorflow']"/>
  </r>
  <r>
    <s v="Data Scientist"/>
    <x v="1"/>
    <x v="0"/>
    <x v="1"/>
    <s v="Fort Worth, TX . Hybrid"/>
    <x v="1"/>
    <s v="Detroit, MI, US"/>
    <x v="1"/>
    <x v="0"/>
    <n v="155030"/>
    <s v="['spark', 'r', 'python', 'sql', 'machine learning']"/>
  </r>
  <r>
    <s v="Data Scientist"/>
    <x v="0"/>
    <x v="1"/>
    <x v="2"/>
    <s v="Austin, TX . Toronto, Ontario, Canada . Kirkland, WA . Orlando, FL . Edmonton, Alberta, Canada + 1 More"/>
    <x v="2"/>
    <s v="Redwood City, CA, US"/>
    <x v="2"/>
    <x v="0"/>
    <n v="25930"/>
    <s v="['aws', 'git', 'python', 'docker', 'sql', 'machine learning', 'gcp', 'kubernetes', 'deep learning']"/>
  </r>
  <r>
    <s v="Data Scientist"/>
    <x v="0"/>
    <x v="0"/>
    <x v="3"/>
    <s v="Chicago, IL . Scottsdale, AZ . Austin, TX . Hybrid"/>
    <x v="3"/>
    <s v="San Jose, CA, US"/>
    <x v="2"/>
    <x v="0"/>
    <n v="34690"/>
    <s v="['sql', 'r', 'python']"/>
  </r>
  <r>
    <s v="Data Scientist"/>
    <x v="0"/>
    <x v="1"/>
    <x v="4"/>
    <s v="On-site"/>
    <x v="4"/>
    <s v="Stamford, CT, US"/>
    <x v="3"/>
    <x v="1"/>
    <n v="1800"/>
    <s v="['amazon', 'aws']"/>
  </r>
  <r>
    <s v="Data Scientist"/>
    <x v="1"/>
    <x v="0"/>
    <x v="5"/>
    <s v="New York, NY"/>
    <x v="5"/>
    <s v="New York, NY, US"/>
    <x v="2"/>
    <x v="1"/>
    <n v="150"/>
    <s v="['scikit-learn', 'python', 'scala', 'sql', 'machine learning', 'tensorflow']"/>
  </r>
  <r>
    <s v="Data Scientist"/>
    <x v="2"/>
    <x v="0"/>
    <x v="6"/>
    <s v="Berkeley, CA"/>
    <x v="1"/>
    <s v="Berkeley, CA, US"/>
    <x v="4"/>
    <x v="0"/>
    <n v="17471"/>
    <s v="['amazon', 'aws']"/>
  </r>
  <r>
    <s v="Machine Learning Engineer"/>
    <x v="0"/>
    <x v="1"/>
    <x v="7"/>
    <s v="Menlo Park, CA"/>
    <x v="6"/>
    <s v="Menlo Park, CA, US"/>
    <x v="2"/>
    <x v="0"/>
    <n v="900"/>
    <s v="['machine learning']"/>
  </r>
  <r>
    <s v="Data Scientist"/>
    <x v="0"/>
    <x v="2"/>
    <x v="8"/>
    <s v="Fully Remote"/>
    <x v="7"/>
    <s v="Boston, MA, US"/>
    <x v="2"/>
    <x v="1"/>
    <n v="126"/>
    <s v="['amazon', 'aws']"/>
  </r>
  <r>
    <s v="Data Scientist"/>
    <x v="0"/>
    <x v="1"/>
    <x v="9"/>
    <s v="On-site"/>
    <x v="8"/>
    <s v="San Francisco, CA, US"/>
    <x v="2"/>
    <x v="0"/>
    <n v="5520"/>
    <s v="['amazon', 'aws']"/>
  </r>
  <r>
    <s v="Data Scientist"/>
    <x v="0"/>
    <x v="0"/>
    <x v="10"/>
    <s v="Atlanta, GA"/>
    <x v="1"/>
    <s v="Charlotte, NC, US"/>
    <x v="2"/>
    <x v="0"/>
    <n v="103010"/>
    <s v="['pytorch', 'r', 'python', 'sql', 'machine learning', 'keras', 'deep learning', 'tensorflow']"/>
  </r>
  <r>
    <s v="Data Scientist"/>
    <x v="3"/>
    <x v="0"/>
    <x v="11"/>
    <s v="Greater Vancouver Metropolitan Area"/>
    <x v="7"/>
    <s v="Vancouver, BC, CA"/>
    <x v="4"/>
    <x v="0"/>
    <n v="240"/>
    <s v="['java', 'git', 'python']"/>
  </r>
  <r>
    <s v="Data Scientist"/>
    <x v="0"/>
    <x v="2"/>
    <x v="12"/>
    <s v="Minneapolis, MN . Fully Remote"/>
    <x v="3"/>
    <s v="Golden Valley, MN, US"/>
    <x v="1"/>
    <x v="0"/>
    <n v="21030"/>
    <s v="['sql', 'machine learning', 'python']"/>
  </r>
  <r>
    <s v="Data Scientist"/>
    <x v="0"/>
    <x v="1"/>
    <x v="13"/>
    <s v="Titusville, NJ . Titusville, New Jersey, United States"/>
    <x v="9"/>
    <s v="New Brunswick, NJ, US"/>
    <x v="5"/>
    <x v="0"/>
    <n v="128890"/>
    <s v="['sql', 'machine learning', 'r', 'python']"/>
  </r>
  <r>
    <s v="Data Scientist"/>
    <x v="0"/>
    <x v="1"/>
    <x v="14"/>
    <s v="Arlington, VA"/>
    <x v="2"/>
    <s v="Baltimore, MD, US"/>
    <x v="2"/>
    <x v="1"/>
    <n v="45"/>
    <s v="['pandas', 'powerbi', 'python', 'java', 'sql', 'machine learning', 'tableau']"/>
  </r>
  <r>
    <s v="Data Scientist"/>
    <x v="0"/>
    <x v="2"/>
    <x v="15"/>
    <s v="Fully Remote"/>
    <x v="10"/>
    <s v="San Francisco, CA, US"/>
    <x v="3"/>
    <x v="1"/>
    <n v="300"/>
    <s v="['amazon', 'aws']"/>
  </r>
  <r>
    <s v="Data Scientist"/>
    <x v="1"/>
    <x v="0"/>
    <x v="16"/>
    <s v="Bengaluru, Karnataka, India"/>
    <x v="7"/>
    <s v="Kista, SE"/>
    <x v="2"/>
    <x v="0"/>
    <n v="132000"/>
    <s v="['spark', 'aws', 'r', 'python', 'machine learning', 'gcp', 'deep learning', 'hadoop', 'azure']"/>
  </r>
  <r>
    <s v="Data Scientist"/>
    <x v="1"/>
    <x v="1"/>
    <x v="17"/>
    <s v="Charlotte, NC . On-site"/>
    <x v="3"/>
    <s v="San Francisco, CA, US"/>
    <x v="3"/>
    <x v="0"/>
    <n v="257150"/>
    <s v="['aws', 'r', 'python', 'sql', 'machine learning', 'azure', 'tableau']"/>
  </r>
  <r>
    <s v="Data Scientist"/>
    <x v="0"/>
    <x v="2"/>
    <x v="18"/>
    <s v="Fully Remote"/>
    <x v="11"/>
    <s v="San Francisco, CA, US"/>
    <x v="4"/>
    <x v="1"/>
    <n v="130"/>
    <s v="['amazon', 'aws']"/>
  </r>
  <r>
    <s v="Machine Learning Engineer"/>
    <x v="2"/>
    <x v="0"/>
    <x v="19"/>
    <s v="Basel, Basel, Switzerland"/>
    <x v="9"/>
    <s v="BS, CH"/>
    <x v="5"/>
    <x v="0"/>
    <n v="93580"/>
    <s v="['pytorch', 'python', 'machine learning', 'deep learning', 'tensorflow']"/>
  </r>
  <r>
    <s v="Data Scientist"/>
    <x v="0"/>
    <x v="1"/>
    <x v="20"/>
    <s v="Toronto, Ontario, Canada . On-site"/>
    <x v="3"/>
    <s v="Toronto, ON, CA"/>
    <x v="3"/>
    <x v="0"/>
    <n v="44010"/>
    <s v="['pytorch', 'spark', 'git', 'r', 'python', 'sql', 'machine learning', 'tensorflow']"/>
  </r>
  <r>
    <s v="Data Scientist"/>
    <x v="0"/>
    <x v="1"/>
    <x v="21"/>
    <s v="Findlay, OH . Denver, CO . San Antonio, TX"/>
    <x v="3"/>
    <s v="Findlay, OH, US"/>
    <x v="6"/>
    <x v="0"/>
    <n v="11610"/>
    <s v="['pytorch', 'scikit-learn', 'python', 'machine learning', 'deep learning', 'tensorflow']"/>
  </r>
  <r>
    <s v="Data Scientist"/>
    <x v="0"/>
    <x v="1"/>
    <x v="22"/>
    <s v="Toronto, Ontario, Canada"/>
    <x v="7"/>
    <s v="Toronto, ON, CA"/>
    <x v="2"/>
    <x v="1"/>
    <n v="300"/>
    <s v="['airflow', 'spark', 'machine learning', 'python']"/>
  </r>
  <r>
    <s v="Data Scientist"/>
    <x v="0"/>
    <x v="0"/>
    <x v="23"/>
    <s v="San Francisco, CA"/>
    <x v="5"/>
    <s v="San Francisco, CA, US"/>
    <x v="2"/>
    <x v="1"/>
    <n v="100"/>
    <s v="['amazon', 'aws']"/>
  </r>
  <r>
    <s v="Data Scientist"/>
    <x v="1"/>
    <x v="0"/>
    <x v="24"/>
    <s v="Bengaluru, Karnataka, India"/>
    <x v="2"/>
    <s v="Bengaluru, KA, IN"/>
    <x v="2"/>
    <x v="0"/>
    <n v="222070"/>
    <s v="['deep learning', 'machine learning']"/>
  </r>
  <r>
    <s v="Data Scientist"/>
    <x v="0"/>
    <x v="2"/>
    <x v="25"/>
    <s v="Remote, US . Fully Remote"/>
    <x v="5"/>
    <s v="San Francisco, CA, US"/>
    <x v="2"/>
    <x v="1"/>
    <n v="340"/>
    <s v="['amazon', 'aws']"/>
  </r>
  <r>
    <s v="Data Scientist"/>
    <x v="0"/>
    <x v="0"/>
    <x v="26"/>
    <s v="Huntsville, AL . Merritt Island, FL . Seattle, WA"/>
    <x v="1"/>
    <s v="Kent, WA, US"/>
    <x v="2"/>
    <x v="1"/>
    <n v="3780"/>
    <s v="['aws', 'git', 'r', 'python', 'docker', 'machine learning', 'kubernetes', 'deep learning', 'azure']"/>
  </r>
  <r>
    <s v="Data Scientist"/>
    <x v="0"/>
    <x v="0"/>
    <x v="27"/>
    <s v="San Francisco, CA"/>
    <x v="3"/>
    <s v="San Francisco, CA, US"/>
    <x v="4"/>
    <x v="1"/>
    <n v="807"/>
    <s v="['sql', 'machine learning', 'r', 'python']"/>
  </r>
  <r>
    <s v="Data Scientist"/>
    <x v="0"/>
    <x v="1"/>
    <x v="28"/>
    <s v="Laurel, MD"/>
    <x v="2"/>
    <s v="Laurel, MD, US"/>
    <x v="2"/>
    <x v="0"/>
    <n v="8010"/>
    <s v="['python']"/>
  </r>
  <r>
    <s v="Machine Learning Engineer"/>
    <x v="0"/>
    <x v="0"/>
    <x v="29"/>
    <s v="Amsterdam, North Holland, Netherlands"/>
    <x v="2"/>
    <s v="San Francisco, CA, US"/>
    <x v="2"/>
    <x v="0"/>
    <n v="26950"/>
    <s v="['sql', 'machine learning', 'python']"/>
  </r>
  <r>
    <s v="Data Scientist"/>
    <x v="1"/>
    <x v="1"/>
    <x v="30"/>
    <s v="Richmond, VA . On-site"/>
    <x v="12"/>
    <s v="Washington, DC, US"/>
    <x v="2"/>
    <x v="0"/>
    <n v="4820"/>
    <s v="['machine learning', 'python']"/>
  </r>
  <r>
    <s v="Data Scientist"/>
    <x v="1"/>
    <x v="0"/>
    <x v="31"/>
    <s v="Seattle, WA . Hybrid"/>
    <x v="13"/>
    <s v="Seattle, WA, US"/>
    <x v="0"/>
    <x v="0"/>
    <n v="157200"/>
    <s v="['r', 'python', 'sql', 'machine learning', 'tableau']"/>
  </r>
  <r>
    <s v="Data Scientist"/>
    <x v="0"/>
    <x v="0"/>
    <x v="32"/>
    <s v="Manchester, England, United Kingdom . Hybrid"/>
    <x v="1"/>
    <s v="Manchester, GB"/>
    <x v="2"/>
    <x v="0"/>
    <n v="1320"/>
    <s v="['spark', 'python', 'airflow', 'sql', 'machine learning']"/>
  </r>
  <r>
    <s v="Data Scientist"/>
    <x v="0"/>
    <x v="1"/>
    <x v="30"/>
    <s v="Richmond, VA . On-site"/>
    <x v="12"/>
    <s v="Washington, DC, US"/>
    <x v="2"/>
    <x v="0"/>
    <n v="4780"/>
    <s v="['machine learning', 'python']"/>
  </r>
  <r>
    <s v="Machine Learning Engineer"/>
    <x v="3"/>
    <x v="0"/>
    <x v="33"/>
    <s v="Barcelona, Catalonia, Spain"/>
    <x v="12"/>
    <s v="Barcelona, CT, ES"/>
    <x v="2"/>
    <x v="0"/>
    <n v="900"/>
    <s v="['git', 'r', 'python', 'linux', 'bash']"/>
  </r>
  <r>
    <s v="Data Scientist"/>
    <x v="0"/>
    <x v="1"/>
    <x v="34"/>
    <s v="Toronto, Ontario, Canada"/>
    <x v="4"/>
    <s v="Cherry Hill, NJ, US"/>
    <x v="2"/>
    <x v="1"/>
    <n v="26070"/>
    <s v="['pandas', 'numpy', 'scikit-learn', 'python', 'sql', 'azure', 'tableau']"/>
  </r>
  <r>
    <s v="Data Scientist"/>
    <x v="0"/>
    <x v="0"/>
    <x v="35"/>
    <s v="Foster City, CA . Hybrid"/>
    <x v="14"/>
    <s v="Foster City, CA, US"/>
    <x v="2"/>
    <x v="1"/>
    <n v="1790"/>
    <s v="['amazon', 'aws']"/>
  </r>
  <r>
    <s v="Data Scientist"/>
    <x v="0"/>
    <x v="0"/>
    <x v="36"/>
    <s v="San Francisco, CA, US . Seattle, WA, US . Hybrid"/>
    <x v="9"/>
    <s v="San Francisco, CA, US"/>
    <x v="2"/>
    <x v="0"/>
    <n v="5260"/>
    <s v="['amazon', 'aws']"/>
  </r>
  <r>
    <s v="Data Scientist"/>
    <x v="1"/>
    <x v="0"/>
    <x v="37"/>
    <s v="United States"/>
    <x v="2"/>
    <s v="Chicago, IL, US"/>
    <x v="2"/>
    <x v="1"/>
    <n v="210"/>
    <s v="['pytorch', 'spark', 'scikit-learn', 'python', 'neural network', 'machine learning', 'deep learning', 'tensorflow']"/>
  </r>
  <r>
    <s v="Data Scientist"/>
    <x v="3"/>
    <x v="1"/>
    <x v="38"/>
    <s v="Cambridge, MA"/>
    <x v="1"/>
    <s v="Cambridge, MA, US"/>
    <x v="2"/>
    <x v="0"/>
    <n v="9070"/>
    <s v="['r', 'python', 'sql', 'machine learning', 'tableau']"/>
  </r>
  <r>
    <s v="Data Scientist"/>
    <x v="0"/>
    <x v="1"/>
    <x v="39"/>
    <s v="Atlanta, GA"/>
    <x v="15"/>
    <s v="Atlanta, GA, US"/>
    <x v="2"/>
    <x v="0"/>
    <n v="9030"/>
    <s v="['sql', 'machine learning', 'tableau', 'python']"/>
  </r>
  <r>
    <s v="Data Scientist"/>
    <x v="0"/>
    <x v="2"/>
    <x v="40"/>
    <s v="United States . Fully Remote"/>
    <x v="16"/>
    <s v="Phoenix, AZ, US"/>
    <x v="2"/>
    <x v="1"/>
    <n v="60"/>
    <s v="['sql', 'machine learning', 'tableau', 'python']"/>
  </r>
  <r>
    <s v="Data Scientist"/>
    <x v="0"/>
    <x v="1"/>
    <x v="41"/>
    <s v="San Diego, CA"/>
    <x v="6"/>
    <s v="San Diego, CA, US"/>
    <x v="2"/>
    <x v="0"/>
    <n v="41020"/>
    <s v="['pytorch', 'python', 'docker', 'sql', 'neural network', 'kubernetes', 'tensorflow']"/>
  </r>
  <r>
    <s v="Data Scientist"/>
    <x v="0"/>
    <x v="0"/>
    <x v="42"/>
    <s v="Toronto, Ontario, Canada . Montreal, Quebec, Canada . Hybrid"/>
    <x v="3"/>
    <s v="Toronto, ON, CA"/>
    <x v="3"/>
    <x v="0"/>
    <n v="26040"/>
    <s v="['machine learning', 'r', 'python']"/>
  </r>
  <r>
    <s v="Data Scientist"/>
    <x v="0"/>
    <x v="0"/>
    <x v="43"/>
    <s v="New York, NY . Hybrid"/>
    <x v="7"/>
    <s v="San Francisco, CA, US"/>
    <x v="2"/>
    <x v="0"/>
    <n v="5050"/>
    <s v="['amazon', 'aws']"/>
  </r>
  <r>
    <s v="Data Scientist"/>
    <x v="0"/>
    <x v="1"/>
    <x v="44"/>
    <s v="On-site"/>
    <x v="10"/>
    <s v="Cary, NC, US"/>
    <x v="2"/>
    <x v="1"/>
    <n v="990"/>
    <s v="['amazon', 'aws']"/>
  </r>
  <r>
    <s v="Data Scientist"/>
    <x v="0"/>
    <x v="1"/>
    <x v="45"/>
    <s v="New York, NY"/>
    <x v="3"/>
    <s v="Washington, DC, US"/>
    <x v="3"/>
    <x v="0"/>
    <n v="2290"/>
    <s v="['aws', 'git', 'python', 'sql', 'machine learning']"/>
  </r>
  <r>
    <s v="Machine Learning Engineer"/>
    <x v="0"/>
    <x v="1"/>
    <x v="26"/>
    <s v="Seattle, WA"/>
    <x v="1"/>
    <s v="Kent, WA, US"/>
    <x v="2"/>
    <x v="1"/>
    <n v="3810"/>
    <s v="['pandas', 'pytorch', 'aws', 'python', 'docker', 'machine learning', 'kubernetes', 'deep learning', 'azure', 'tensorflow']"/>
  </r>
  <r>
    <s v="Data Scientist"/>
    <x v="0"/>
    <x v="0"/>
    <x v="46"/>
    <s v="McLean, VA . Hybrid"/>
    <x v="3"/>
    <s v="Toronto, ON, CA"/>
    <x v="2"/>
    <x v="0"/>
    <n v="24040"/>
    <s v="['java', 'machine learning', 'r', 'python']"/>
  </r>
  <r>
    <s v="Data Scientist"/>
    <x v="1"/>
    <x v="1"/>
    <x v="47"/>
    <s v="Seattle, Washington, United States . On-site"/>
    <x v="17"/>
    <s v="Seattle, WA, US"/>
    <x v="2"/>
    <x v="1"/>
    <n v="46"/>
    <s v="['amazon', 'aws']"/>
  </r>
  <r>
    <s v="Data Scientist"/>
    <x v="0"/>
    <x v="1"/>
    <x v="48"/>
    <s v="Warsaw, Mazowieckie, Poland . Prague, Prague, Czechia . Kyiv, Kyiv City, Ukraine"/>
    <x v="5"/>
    <s v="Seattle, WA, US"/>
    <x v="2"/>
    <x v="1"/>
    <n v="330"/>
    <s v="['pandas', 'pytorch', 'r', 'python', 'machine learning', 'tensorflow']"/>
  </r>
  <r>
    <s v="Data Scientist"/>
    <x v="0"/>
    <x v="1"/>
    <x v="49"/>
    <s v="On-site"/>
    <x v="5"/>
    <s v="Sunnyvale, CA, US"/>
    <x v="2"/>
    <x v="1"/>
    <n v="5"/>
    <s v="['amazon', 'aws']"/>
  </r>
  <r>
    <s v="Data Scientist"/>
    <x v="0"/>
    <x v="1"/>
    <x v="50"/>
    <s v="San Francisco, California, United States . On-site"/>
    <x v="15"/>
    <s v="San Francisco, CA, US"/>
    <x v="3"/>
    <x v="1"/>
    <n v="950"/>
    <s v="['amazon', 'aws']"/>
  </r>
  <r>
    <s v="Data Scientist"/>
    <x v="0"/>
    <x v="1"/>
    <x v="51"/>
    <s v="Bangalore, Karnataka"/>
    <x v="18"/>
    <s v="Bengaluru, KA, IN"/>
    <x v="2"/>
    <x v="1"/>
    <n v="750"/>
    <s v="['amazon', 'aws']"/>
  </r>
  <r>
    <s v="Data Scientist"/>
    <x v="0"/>
    <x v="0"/>
    <x v="52"/>
    <s v="Toronto, Ontario, Canada . Hybrid"/>
    <x v="12"/>
    <s v="Calgary, AB, CA"/>
    <x v="2"/>
    <x v="0"/>
    <n v="23860"/>
    <s v="['sql', 'tableau', 'python']"/>
  </r>
  <r>
    <s v="Data Scientist"/>
    <x v="0"/>
    <x v="1"/>
    <x v="53"/>
    <s v="Rock Island, IL . On-site"/>
    <x v="5"/>
    <s v="Hook, GB"/>
    <x v="2"/>
    <x v="0"/>
    <n v="28840"/>
    <s v="['scikit-learn', 'r', 'python', 'java', 'machine learning']"/>
  </r>
  <r>
    <s v="Data Scientist"/>
    <x v="3"/>
    <x v="1"/>
    <x v="54"/>
    <s v="Cambridge, England, United Kingdom"/>
    <x v="3"/>
    <s v="Cambridge, GB"/>
    <x v="4"/>
    <x v="0"/>
    <n v="10933"/>
    <s v="['amazon', 'aws']"/>
  </r>
  <r>
    <s v="Data Scientist"/>
    <x v="3"/>
    <x v="2"/>
    <x v="55"/>
    <s v="Oregon, United States . Fully Remote"/>
    <x v="19"/>
    <s v="Beaverton, OR, US"/>
    <x v="1"/>
    <x v="0"/>
    <n v="99620"/>
    <s v="['pandas', 'powerbi', 'r', 'python', 'sql', 'neural network', 'machine learning', 'deep learning', 'tableau']"/>
  </r>
  <r>
    <s v="Machine Learning Engineer"/>
    <x v="0"/>
    <x v="1"/>
    <x v="56"/>
    <s v="Pune, Maharashtra, India"/>
    <x v="19"/>
    <s v="KÃ¸benhavn, DK"/>
    <x v="7"/>
    <x v="1"/>
    <n v="38090"/>
    <s v="['spark', 'aws', 'powerbi', 'python', 'docker', 'sql', 'machine learning', 'gcp', 'kubernetes', 'deep learning', 'azure']"/>
  </r>
  <r>
    <s v="Data Scientist"/>
    <x v="0"/>
    <x v="1"/>
    <x v="45"/>
    <s v="Denver, CO"/>
    <x v="3"/>
    <s v="Washington, DC, US"/>
    <x v="3"/>
    <x v="0"/>
    <n v="2300"/>
    <s v="['aws', 'git', 'python', 'sql', 'machine learning']"/>
  </r>
  <r>
    <s v="Data Scientist"/>
    <x v="0"/>
    <x v="1"/>
    <x v="57"/>
    <s v="San Francisco, California, United States . On-site"/>
    <x v="2"/>
    <s v="San Francisco, CA, US"/>
    <x v="2"/>
    <x v="1"/>
    <n v="420"/>
    <s v="['amazon', 'aws']"/>
  </r>
  <r>
    <s v="Data Scientist"/>
    <x v="1"/>
    <x v="1"/>
    <x v="58"/>
    <s v="Charlotte, NC"/>
    <x v="3"/>
    <s v="Mooresville, NC, US"/>
    <x v="0"/>
    <x v="0"/>
    <n v="118910"/>
    <s v="['sql', 'deep learning', 'machine learning']"/>
  </r>
  <r>
    <s v="Data Scientist"/>
    <x v="0"/>
    <x v="0"/>
    <x v="59"/>
    <s v="Bengaluru, Karnataka, India . Hybrid"/>
    <x v="2"/>
    <s v="Frankfurt am Main, HE, DE"/>
    <x v="3"/>
    <x v="0"/>
    <n v="68400"/>
    <s v="['pytorch', 'aws', 'python', 'sql', 'gcp', 'azure', 'tensorflow']"/>
  </r>
  <r>
    <s v="Data Scientist"/>
    <x v="0"/>
    <x v="1"/>
    <x v="60"/>
    <s v="Chennai, Tamil Nadu, India"/>
    <x v="20"/>
    <s v="Dearborn, MI, US"/>
    <x v="2"/>
    <x v="0"/>
    <n v="187540"/>
    <s v="['pandas', 'numpy', 'pytorch', 'powerbi', 'git', 'scikit-learn', 'python', 'java', 'sql', 'neural network', 'gcp', 'machine learning', 'matplotlib', 'tensorflow']"/>
  </r>
  <r>
    <s v="Data Scientist"/>
    <x v="0"/>
    <x v="1"/>
    <x v="61"/>
    <s v="Menlo Park, CA . On-site"/>
    <x v="1"/>
    <s v="West Menlo Park, CA, US"/>
    <x v="3"/>
    <x v="0"/>
    <n v="3810"/>
    <s v="['amazon', 'aws']"/>
  </r>
  <r>
    <s v="Data Scientist"/>
    <x v="3"/>
    <x v="1"/>
    <x v="6"/>
    <s v="Berkeley, CA"/>
    <x v="1"/>
    <s v="Berkeley, CA, US"/>
    <x v="4"/>
    <x v="0"/>
    <n v="17451"/>
    <s v="['machine learning', 'database']"/>
  </r>
  <r>
    <s v="Data Scientist"/>
    <x v="0"/>
    <x v="2"/>
    <x v="62"/>
    <s v="Remote, United States . Fully Remote"/>
    <x v="2"/>
    <s v="San Francisco, CA, US"/>
    <x v="2"/>
    <x v="1"/>
    <n v="1290"/>
    <s v="['amazon', 'aws']"/>
  </r>
  <r>
    <s v="Data Scientist"/>
    <x v="0"/>
    <x v="1"/>
    <x v="53"/>
    <s v="Rock Island, IL . On-site"/>
    <x v="5"/>
    <s v="Hook, GB"/>
    <x v="2"/>
    <x v="0"/>
    <n v="28810"/>
    <s v="['scikit-learn', 'r', 'python', 'java', 'machine learning']"/>
  </r>
  <r>
    <s v="Data Scientist"/>
    <x v="0"/>
    <x v="2"/>
    <x v="36"/>
    <s v="San Francisco, CA, US . Remote, US . Fully Remote"/>
    <x v="19"/>
    <s v="San Francisco, CA, US"/>
    <x v="2"/>
    <x v="0"/>
    <n v="5320"/>
    <s v="['amazon', 'aws']"/>
  </r>
  <r>
    <s v="Data Scientist"/>
    <x v="0"/>
    <x v="1"/>
    <x v="63"/>
    <s v="United States"/>
    <x v="1"/>
    <s v="San Francisco, CA, US"/>
    <x v="3"/>
    <x v="1"/>
    <n v="30"/>
    <s v="['amazon', 'aws']"/>
  </r>
  <r>
    <s v="Data Scientist"/>
    <x v="0"/>
    <x v="2"/>
    <x v="9"/>
    <s v="Fully Remote"/>
    <x v="8"/>
    <s v="San Francisco, CA, US"/>
    <x v="2"/>
    <x v="0"/>
    <n v="5550"/>
    <s v="['amazon', 'aws']"/>
  </r>
  <r>
    <s v="Data Scientist"/>
    <x v="0"/>
    <x v="2"/>
    <x v="64"/>
    <s v="Fully Remote"/>
    <x v="3"/>
    <s v="New York, NY, US"/>
    <x v="3"/>
    <x v="1"/>
    <n v="45"/>
    <s v="['amazon', 'aws']"/>
  </r>
  <r>
    <s v="Data Scientist"/>
    <x v="0"/>
    <x v="1"/>
    <x v="10"/>
    <s v="Pittsburgh, PA"/>
    <x v="12"/>
    <s v="Charlotte, NC, US"/>
    <x v="2"/>
    <x v="0"/>
    <n v="103070"/>
    <s v="['python', 'java', 'sql', 'kubernetes', 'azure']"/>
  </r>
  <r>
    <s v="Data Scientist"/>
    <x v="0"/>
    <x v="1"/>
    <x v="65"/>
    <s v="Seattle, WA . Seattle, Washington, Ã‰tats-Unis . Seattle, Washington, USA"/>
    <x v="2"/>
    <s v="Seattle, WA, US"/>
    <x v="0"/>
    <x v="0"/>
    <n v="865416"/>
    <s v="['amazon', 'r', 'python', 'machine learning', 'deep learning']"/>
  </r>
  <r>
    <s v="Machine Learning Engineer"/>
    <x v="0"/>
    <x v="1"/>
    <x v="66"/>
    <s v="Taipei, Taiwan . On-site"/>
    <x v="8"/>
    <s v="TW"/>
    <x v="2"/>
    <x v="1"/>
    <n v="530"/>
    <s v="['amazon', 'aws']"/>
  </r>
  <r>
    <s v="Data Scientist"/>
    <x v="0"/>
    <x v="0"/>
    <x v="67"/>
    <s v="Denver, CO . Hybrid"/>
    <x v="2"/>
    <s v="Denver, CO, US"/>
    <x v="2"/>
    <x v="1"/>
    <n v="900"/>
    <s v="['spark', 'r', 'python', 'database', 'machine learning']"/>
  </r>
  <r>
    <s v="Data Scientist"/>
    <x v="0"/>
    <x v="2"/>
    <x v="68"/>
    <s v="Fort Worth, TX"/>
    <x v="2"/>
    <s v="Bethesda, MD, US"/>
    <x v="2"/>
    <x v="0"/>
    <n v="108670"/>
    <s v="['machine learning']"/>
  </r>
  <r>
    <s v="Data Scientist"/>
    <x v="0"/>
    <x v="0"/>
    <x v="69"/>
    <s v="Austin, Texas . Hybrid"/>
    <x v="8"/>
    <s v="San Jose, CA, US"/>
    <x v="2"/>
    <x v="0"/>
    <n v="2760"/>
    <s v="['amazon', 'aws']"/>
  </r>
  <r>
    <s v="Data Scientist"/>
    <x v="0"/>
    <x v="0"/>
    <x v="70"/>
    <s v="Toronto, ON . Hybrid"/>
    <x v="21"/>
    <s v="San Francisco, CA, US"/>
    <x v="3"/>
    <x v="1"/>
    <n v="780"/>
    <s v="['amazon', 'aws']"/>
  </r>
  <r>
    <s v="Data Scientist"/>
    <x v="0"/>
    <x v="1"/>
    <x v="71"/>
    <s v="Orlando, FL"/>
    <x v="22"/>
    <s v="Charlotte, NC, US"/>
    <x v="3"/>
    <x v="0"/>
    <n v="14090"/>
    <s v="['spark', 'r', 'python', 'sql', 'hadoop', 'machine learning']"/>
  </r>
  <r>
    <s v="Data Scientist"/>
    <x v="0"/>
    <x v="1"/>
    <x v="72"/>
    <s v="United States"/>
    <x v="1"/>
    <s v="San Jose, CA, US"/>
    <x v="2"/>
    <x v="1"/>
    <n v="900"/>
    <s v="['pytorch', 'spark', 'aws', 'scikit-learn', 'python', 'docker', 'deep learning', 'java', 'sql', 'machine learning', 'gcp', 'kubernetes', 'hadoop', 'azure', 'tensorflow']"/>
  </r>
  <r>
    <s v="Data Scientist"/>
    <x v="1"/>
    <x v="2"/>
    <x v="73"/>
    <s v="All, MO"/>
    <x v="1"/>
    <s v="Chicago, IL, US"/>
    <x v="2"/>
    <x v="0"/>
    <n v="2570"/>
    <s v="['aws', 'scikit-learn', 'python', 'sql', 'machine learning', 'tensorflow']"/>
  </r>
  <r>
    <s v="Machine Learning Engineer"/>
    <x v="0"/>
    <x v="1"/>
    <x v="74"/>
    <s v="Mountain View, California (HQ) . On-site"/>
    <x v="3"/>
    <s v="Mountain View, CA, US"/>
    <x v="2"/>
    <x v="1"/>
    <n v="900"/>
    <s v="['amazon', 'aws']"/>
  </r>
  <r>
    <s v="Data Scientist"/>
    <x v="0"/>
    <x v="1"/>
    <x v="75"/>
    <s v="Reston, VA"/>
    <x v="19"/>
    <s v="Falls Church, VA, US"/>
    <x v="2"/>
    <x v="1"/>
    <n v="21690"/>
    <s v="['aws', 'git', 'python', 'java', 'kubernetes', 'machine learning']"/>
  </r>
  <r>
    <s v="Data Scientist"/>
    <x v="0"/>
    <x v="2"/>
    <x v="76"/>
    <s v="Fully Remote"/>
    <x v="16"/>
    <s v="Roseville, CA, US"/>
    <x v="2"/>
    <x v="1"/>
    <n v="900"/>
    <s v="['amazon', 'aws']"/>
  </r>
  <r>
    <s v="Data Scientist"/>
    <x v="0"/>
    <x v="0"/>
    <x v="77"/>
    <s v="Redwood City, US, California . Hybrid"/>
    <x v="16"/>
    <s v="MÃ¼nchen, BY, DE"/>
    <x v="2"/>
    <x v="1"/>
    <n v="2010"/>
    <s v="['amazon', 'aws']"/>
  </r>
  <r>
    <s v="Data Scientist"/>
    <x v="0"/>
    <x v="1"/>
    <x v="78"/>
    <s v="Veldhoven, North Brabant, Netherlands . On-site"/>
    <x v="23"/>
    <s v="Veldhoven, NB, NL"/>
    <x v="2"/>
    <x v="0"/>
    <n v="24780"/>
    <s v="['r']"/>
  </r>
  <r>
    <s v="Data Scientist"/>
    <x v="0"/>
    <x v="2"/>
    <x v="79"/>
    <s v="Fully Remote"/>
    <x v="19"/>
    <s v="San Francisco, CA, US"/>
    <x v="2"/>
    <x v="0"/>
    <n v="4080"/>
    <s v="['amazon', 'aws']"/>
  </r>
  <r>
    <s v="Data Scientist"/>
    <x v="0"/>
    <x v="1"/>
    <x v="80"/>
    <s v="Ridgefield, CT"/>
    <x v="24"/>
    <s v="Ingelheim am Rhein, RP, DE"/>
    <x v="2"/>
    <x v="0"/>
    <n v="52060"/>
    <s v="['pytorch', 'git', 'scikit-learn', 'python', 'docker', 'kubernetes', 'machine learning', 'tensorflow']"/>
  </r>
  <r>
    <s v="Data Scientist"/>
    <x v="0"/>
    <x v="1"/>
    <x v="81"/>
    <s v="Pune, Maharashtra, India"/>
    <x v="1"/>
    <s v="Armonk, NY, US"/>
    <x v="2"/>
    <x v="0"/>
    <n v="524608"/>
    <s v="['pandas', 'pytorch', 'r', 'python', 'java', 'database', 'keras', 'machine learning', 'matplotlib', 'tensorflow']"/>
  </r>
  <r>
    <s v="Data Scientist"/>
    <x v="0"/>
    <x v="1"/>
    <x v="82"/>
    <s v="San Mateo, CA . On-site"/>
    <x v="2"/>
    <s v="Burlingame, CA, US"/>
    <x v="2"/>
    <x v="1"/>
    <n v="126"/>
    <s v="['amazon', 'aws']"/>
  </r>
  <r>
    <s v="Data Scientist"/>
    <x v="0"/>
    <x v="1"/>
    <x v="83"/>
    <s v="On-site"/>
    <x v="21"/>
    <s v="Mountain View, CA, US"/>
    <x v="2"/>
    <x v="0"/>
    <n v="2790"/>
    <s v="['amazon', 'aws']"/>
  </r>
  <r>
    <s v="Data Scientist"/>
    <x v="0"/>
    <x v="1"/>
    <x v="84"/>
    <s v="Omaha, NE . Newport Beach, CA . Massachusetts, United States"/>
    <x v="2"/>
    <s v="Newport Beach, CA, US"/>
    <x v="3"/>
    <x v="0"/>
    <n v="4010"/>
    <s v="['scikit-learn', 'python', 'sql', 'machine learning', 'tensorflow']"/>
  </r>
  <r>
    <s v="Data Scientist"/>
    <x v="0"/>
    <x v="1"/>
    <x v="85"/>
    <s v="Torrance, CA"/>
    <x v="4"/>
    <s v="Torrance, CA, US"/>
    <x v="2"/>
    <x v="0"/>
    <n v="10100"/>
    <s v="['spark', 'r', 'python', 'hadoop', 'machine learning']"/>
  </r>
  <r>
    <s v="Data Scientist"/>
    <x v="0"/>
    <x v="0"/>
    <x v="86"/>
    <s v="Los Angeles, CA . United States . San Francisco, CA . Hybrid"/>
    <x v="15"/>
    <s v="Collingwood, VIC, AU"/>
    <x v="2"/>
    <x v="1"/>
    <n v="150"/>
    <s v="['amazon']"/>
  </r>
  <r>
    <s v="Data Scientist"/>
    <x v="3"/>
    <x v="2"/>
    <x v="87"/>
    <s v="San Francisco, CA"/>
    <x v="3"/>
    <s v="San Francisco, CA, US"/>
    <x v="2"/>
    <x v="0"/>
    <n v="1290"/>
    <s v="['tableau', 'sql', 'r', 'python']"/>
  </r>
  <r>
    <s v="Data Scientist"/>
    <x v="0"/>
    <x v="0"/>
    <x v="88"/>
    <s v="Navi Mumbai, Maharashtra, India . Hybrid"/>
    <x v="2"/>
    <s v="Chicago, IL, US"/>
    <x v="3"/>
    <x v="0"/>
    <n v="9920"/>
    <s v="['pandas', 'numpy', 'pytorch', 'scikit-learn', 'python', 'docker', 'scipy', 'sql', 'machine learning', 'deep learning', 'matplotlib', 'tensorflow']"/>
  </r>
  <r>
    <s v="Data Scientist"/>
    <x v="0"/>
    <x v="0"/>
    <x v="89"/>
    <s v="Tallinn, Harjumaa, Estonia . Hybrid"/>
    <x v="1"/>
    <s v="Tallinn, EE"/>
    <x v="2"/>
    <x v="1"/>
    <n v="3770"/>
    <s v="['pandas', 'numpy', 'spark', 'aws', 'scikit-learn', 'python', 'docker', 'airflow', 'sql', 'machine learning', 'deep learning']"/>
  </r>
  <r>
    <s v="Data Scientist"/>
    <x v="0"/>
    <x v="1"/>
    <x v="90"/>
    <s v="New York, NY"/>
    <x v="3"/>
    <s v="New York, NY, US"/>
    <x v="0"/>
    <x v="0"/>
    <n v="130040"/>
    <s v="['machine learning']"/>
  </r>
  <r>
    <s v="Data Scientist"/>
    <x v="0"/>
    <x v="2"/>
    <x v="91"/>
    <s v="Fairfax, VA"/>
    <x v="16"/>
    <s v="Falls Church, VA, US"/>
    <x v="2"/>
    <x v="0"/>
    <n v="97010"/>
    <s v="['pytorch', 'git', 'python', 'machine learning', 'keras', 'deep learning', 'tensorflow']"/>
  </r>
  <r>
    <s v="Data Scientist"/>
    <x v="0"/>
    <x v="0"/>
    <x v="92"/>
    <s v="New York, NY . Hybrid"/>
    <x v="3"/>
    <s v="New York, NY, US"/>
    <x v="2"/>
    <x v="0"/>
    <n v="830"/>
    <s v="['database', 'sql', 'aws', 'python']"/>
  </r>
  <r>
    <s v="Data Scientist"/>
    <x v="3"/>
    <x v="2"/>
    <x v="93"/>
    <s v="United States"/>
    <x v="2"/>
    <s v="NY, US"/>
    <x v="2"/>
    <x v="1"/>
    <n v="15"/>
    <s v="['amazon', 'spark', 'python', 'airflow', 'machine learning']"/>
  </r>
  <r>
    <s v="Data Scientist"/>
    <x v="0"/>
    <x v="1"/>
    <x v="94"/>
    <s v="Phoenix, AZ"/>
    <x v="4"/>
    <s v="Phoenix, AZ, US"/>
    <x v="6"/>
    <x v="0"/>
    <n v="35020"/>
    <s v="['powerbi', 'aws', 'r', 'python', 'sql', 'machine learning']"/>
  </r>
  <r>
    <s v="Data Scientist"/>
    <x v="0"/>
    <x v="0"/>
    <x v="95"/>
    <s v="Hybrid"/>
    <x v="25"/>
    <s v="San Francisco, CA, US"/>
    <x v="3"/>
    <x v="1"/>
    <n v="890"/>
    <s v="['amazon', 'aws']"/>
  </r>
  <r>
    <s v="Data Scientist"/>
    <x v="0"/>
    <x v="1"/>
    <x v="96"/>
    <s v="Bengaluru, Karnataka, India . On-site"/>
    <x v="26"/>
    <s v="Palo Alto, CA, US"/>
    <x v="2"/>
    <x v="1"/>
    <n v="180"/>
    <s v="['amazon', 'aws']"/>
  </r>
  <r>
    <s v="Data Scientist"/>
    <x v="1"/>
    <x v="0"/>
    <x v="97"/>
    <s v="Austin, TX . Hybrid"/>
    <x v="1"/>
    <s v="Toronto, ON, CA"/>
    <x v="2"/>
    <x v="0"/>
    <n v="19470"/>
    <s v="['java', 'sql', 'python']"/>
  </r>
  <r>
    <s v="Data Scientist"/>
    <x v="1"/>
    <x v="0"/>
    <x v="98"/>
    <s v="Cincinnati, OH . Chicago, IL . Hybrid"/>
    <x v="8"/>
    <s v="Cincinnati, OH, US"/>
    <x v="2"/>
    <x v="1"/>
    <n v="1230"/>
    <s v="['amazon', 'aws']"/>
  </r>
  <r>
    <s v="Data Scientist"/>
    <x v="0"/>
    <x v="1"/>
    <x v="99"/>
    <s v="Manassas, VA"/>
    <x v="10"/>
    <s v="Boise, ID, US"/>
    <x v="2"/>
    <x v="0"/>
    <n v="40060"/>
    <s v="['aws', 'python', 'linux', 'sql', 'gcp', 'hadoop']"/>
  </r>
  <r>
    <s v="Data Scientist"/>
    <x v="0"/>
    <x v="2"/>
    <x v="100"/>
    <s v="Bengaluru, Karnataka, India"/>
    <x v="3"/>
    <s v="New York, NY, US"/>
    <x v="2"/>
    <x v="1"/>
    <n v="1270"/>
    <s v="['spark', 'aws', 'python', 'sql', 'gcp', 'deep learning', 'tensorflow', 'tableau']"/>
  </r>
  <r>
    <s v="Data Analyst"/>
    <x v="3"/>
    <x v="2"/>
    <x v="101"/>
    <s v="Eindhoven, North Brabant, Netherlands"/>
    <x v="1"/>
    <s v="Amsterdam, NH, NL"/>
    <x v="5"/>
    <x v="0"/>
    <n v="82020"/>
    <s v="['python']"/>
  </r>
  <r>
    <s v="Data Scientist"/>
    <x v="0"/>
    <x v="2"/>
    <x v="102"/>
    <s v="Cincinnati, OH"/>
    <x v="22"/>
    <s v="Boston, MA, US"/>
    <x v="2"/>
    <x v="0"/>
    <n v="222500"/>
    <s v="['azure', 'aws', 'machine learning', 'python']"/>
  </r>
  <r>
    <s v="Machine Learning Engineer"/>
    <x v="0"/>
    <x v="1"/>
    <x v="103"/>
    <s v="San Francisco, CA . Seattle, WA . New York, NY . On-site"/>
    <x v="11"/>
    <s v="San Francisco, CA, US"/>
    <x v="2"/>
    <x v="1"/>
    <n v="580"/>
    <s v="['amazon', 'aws']"/>
  </r>
  <r>
    <s v="Data Scientist"/>
    <x v="1"/>
    <x v="0"/>
    <x v="104"/>
    <s v="Bengaluru, Karnataka, India . Hybrid"/>
    <x v="3"/>
    <s v="New York, NY, US"/>
    <x v="2"/>
    <x v="1"/>
    <n v="900"/>
    <s v="['spark', 'r', 'python', 'java', 'sql', 'machine learning']"/>
  </r>
  <r>
    <s v="Data Scientist"/>
    <x v="0"/>
    <x v="2"/>
    <x v="105"/>
    <s v="Raleigh-Durham-Chapel Hill Area"/>
    <x v="20"/>
    <s v="New York, NY, US"/>
    <x v="2"/>
    <x v="0"/>
    <n v="10010"/>
    <s v="['spark', 'aws', 'r', 'python', 'machine learning', 'hadoop', 'deep learning']"/>
  </r>
  <r>
    <s v="Data Scientist"/>
    <x v="0"/>
    <x v="0"/>
    <x v="46"/>
    <s v="McLean, VA . Hybrid"/>
    <x v="22"/>
    <s v="Toronto, ON, CA"/>
    <x v="2"/>
    <x v="0"/>
    <n v="24030"/>
    <s v="['java', 'machine learning', 'r', 'python']"/>
  </r>
  <r>
    <s v="Data Scientist"/>
    <x v="0"/>
    <x v="2"/>
    <x v="106"/>
    <s v="Fully Remote"/>
    <x v="12"/>
    <s v="San Francisco, CA, US"/>
    <x v="0"/>
    <x v="1"/>
    <n v="12300"/>
    <s v="['amazon', 'aws']"/>
  </r>
  <r>
    <s v="Data Scientist"/>
    <x v="0"/>
    <x v="1"/>
    <x v="107"/>
    <s v="Rochester, New York Metropolitan Area"/>
    <x v="26"/>
    <s v="Rochester, NY, US"/>
    <x v="4"/>
    <x v="0"/>
    <n v="9320"/>
    <s v="['deep learning', 'machine learning']"/>
  </r>
  <r>
    <s v="Data Scientist"/>
    <x v="0"/>
    <x v="1"/>
    <x v="108"/>
    <s v="Denver, CO"/>
    <x v="1"/>
    <s v="Denver, CO, US"/>
    <x v="5"/>
    <x v="0"/>
    <n v="24020"/>
    <s v="['pytorch', 'aws', 'r', 'python', 'docker', 'scikit-learn', 'sql', 'machine learning', 'gcp', 'deep learning', 'azure', 'tensorflow']"/>
  </r>
  <r>
    <s v="Data Scientist"/>
    <x v="0"/>
    <x v="0"/>
    <x v="29"/>
    <s v="Greater SÃ£o Paulo Area . Hybrid"/>
    <x v="26"/>
    <s v="San Francisco, CA, US"/>
    <x v="2"/>
    <x v="0"/>
    <n v="26910"/>
    <s v="['sql', 'r', 'python']"/>
  </r>
  <r>
    <s v="Data Scientist"/>
    <x v="3"/>
    <x v="1"/>
    <x v="109"/>
    <s v="Mettawa, IL"/>
    <x v="7"/>
    <s v="North Chicago, IL, US"/>
    <x v="5"/>
    <x v="0"/>
    <n v="49360"/>
    <s v="['amazon', 'aws']"/>
  </r>
  <r>
    <s v="Data Scientist"/>
    <x v="0"/>
    <x v="1"/>
    <x v="110"/>
    <s v="South San Francisco, CA . On-site"/>
    <x v="13"/>
    <s v="Kenilworth, NJ, US"/>
    <x v="5"/>
    <x v="0"/>
    <n v="78750"/>
    <s v="['machine learning', 'r', 'python']"/>
  </r>
  <r>
    <s v="Data Scientist"/>
    <x v="0"/>
    <x v="2"/>
    <x v="111"/>
    <s v="United States"/>
    <x v="22"/>
    <s v="Reston, VA, US"/>
    <x v="2"/>
    <x v="0"/>
    <n v="27450"/>
    <s v="['machine learning', 'r', 'python']"/>
  </r>
  <r>
    <s v="Data Scientist"/>
    <x v="1"/>
    <x v="1"/>
    <x v="112"/>
    <s v="San Antonio, TX"/>
    <x v="1"/>
    <s v="San Antonio, TX, US"/>
    <x v="3"/>
    <x v="1"/>
    <n v="33030"/>
    <s v="['spark', 'r', 'python', 'sql', 'machine learning', 'hadoop', 'deep learning']"/>
  </r>
  <r>
    <s v="Data Scientist"/>
    <x v="0"/>
    <x v="2"/>
    <x v="113"/>
    <s v="United States . Fully Remote"/>
    <x v="8"/>
    <s v="Miami, FL, US"/>
    <x v="2"/>
    <x v="1"/>
    <n v="30"/>
    <s v="['sql', 'machine learning', 'tableau', 'python']"/>
  </r>
  <r>
    <s v="Data Scientist"/>
    <x v="0"/>
    <x v="2"/>
    <x v="19"/>
    <s v="Mississauga, Ontario, Canada"/>
    <x v="22"/>
    <s v="BS, CH"/>
    <x v="5"/>
    <x v="0"/>
    <n v="93560"/>
    <s v="['gcp', 'git', 'r']"/>
  </r>
  <r>
    <s v="Data Scientist"/>
    <x v="0"/>
    <x v="0"/>
    <x v="114"/>
    <s v="Manchester, England, United Kingdom . Hybrid"/>
    <x v="16"/>
    <s v="London, GB"/>
    <x v="2"/>
    <x v="1"/>
    <n v="180"/>
    <s v="['pytorch', 'aws', 'scikit-learn', 'scipy', 'machine learning', 'gcp', 'azure', 'tensorflow']"/>
  </r>
  <r>
    <s v="Data Scientist"/>
    <x v="0"/>
    <x v="1"/>
    <x v="115"/>
    <s v="Bowie, MD . On-site"/>
    <x v="3"/>
    <s v="Bowie, MD, US"/>
    <x v="2"/>
    <x v="0"/>
    <n v="2820"/>
    <s v="['amazon', 'aws']"/>
  </r>
  <r>
    <s v="Data Scientist"/>
    <x v="0"/>
    <x v="1"/>
    <x v="116"/>
    <s v="Plano, TX . On-site"/>
    <x v="1"/>
    <s v="New York, NY, US"/>
    <x v="3"/>
    <x v="0"/>
    <n v="290800"/>
    <s v="['pytorch', 'machine learning', 'tensorflow', 'python']"/>
  </r>
  <r>
    <s v="Data Scientist"/>
    <x v="3"/>
    <x v="2"/>
    <x v="117"/>
    <s v="Arlington, VA"/>
    <x v="3"/>
    <s v="New York, NY, US"/>
    <x v="3"/>
    <x v="1"/>
    <n v="23320"/>
    <s v="['spark', 'python', 'docker', 'java', 'sql', 'machine learning', 'kubernetes', 'hadoop', 'deep learning']"/>
  </r>
  <r>
    <s v="Data Scientist"/>
    <x v="1"/>
    <x v="2"/>
    <x v="118"/>
    <s v="New York, NY"/>
    <x v="19"/>
    <s v="Paris, FR"/>
    <x v="5"/>
    <x v="1"/>
    <n v="76020"/>
    <s v="['powerbi', 'r', 'python', 'scikit-learn', 'sql', 'machine learning', 'tensorflow', 'tableau']"/>
  </r>
  <r>
    <s v="Data Scientist"/>
    <x v="1"/>
    <x v="0"/>
    <x v="119"/>
    <s v="San Francisco, CA . Hybrid"/>
    <x v="22"/>
    <s v="San Francisco, CA, US"/>
    <x v="5"/>
    <x v="1"/>
    <n v="500"/>
    <s v="['amazon', 'aws']"/>
  </r>
  <r>
    <s v="Data Scientist"/>
    <x v="0"/>
    <x v="2"/>
    <x v="120"/>
    <s v="Chicago, IL"/>
    <x v="6"/>
    <s v="South Bend, IN, US"/>
    <x v="5"/>
    <x v="0"/>
    <n v="2520"/>
    <s v="['powerbi', 'r', 'python', 'sql', 'database', 'hadoop', 'tableau']"/>
  </r>
  <r>
    <s v="Data Scientist"/>
    <x v="0"/>
    <x v="1"/>
    <x v="121"/>
    <s v="Charlotte, NC . On-site"/>
    <x v="3"/>
    <s v="Fort Mill, SC, US"/>
    <x v="2"/>
    <x v="1"/>
    <n v="3760"/>
    <s v="['amazon', 'aws']"/>
  </r>
  <r>
    <s v="Data Scientist"/>
    <x v="0"/>
    <x v="1"/>
    <x v="122"/>
    <s v="San Francisco, CA . On-site"/>
    <x v="19"/>
    <s v="San Francisco, CA, US"/>
    <x v="2"/>
    <x v="1"/>
    <n v="150"/>
    <s v="['sql', 'machine learning', 'r', 'python']"/>
  </r>
  <r>
    <s v="Data Scientist"/>
    <x v="0"/>
    <x v="0"/>
    <x v="123"/>
    <s v="Foster City, CA . Hybrid"/>
    <x v="7"/>
    <s v="Foster City, CA, US"/>
    <x v="3"/>
    <x v="0"/>
    <n v="21050"/>
    <s v="['pytorch', 'spark', 'r', 'python', 'scikit-learn', 'machine learning', 'deep learning', 'tensorflow']"/>
  </r>
  <r>
    <s v="Machine Learning Engineer"/>
    <x v="0"/>
    <x v="0"/>
    <x v="2"/>
    <s v="Vancouver, British Columbia, Canada . Hybrid"/>
    <x v="2"/>
    <s v="Redwood City, CA, US"/>
    <x v="2"/>
    <x v="0"/>
    <n v="25940"/>
    <s v="['pytorch', 'machine learning', 'tensorflow', 'python']"/>
  </r>
  <r>
    <s v="Data Scientist"/>
    <x v="0"/>
    <x v="1"/>
    <x v="124"/>
    <s v="Alameda, CA"/>
    <x v="12"/>
    <s v="Lake Bluff, IL, US"/>
    <x v="5"/>
    <x v="0"/>
    <n v="103540"/>
    <s v="['spark', 'r', 'python', 'scala', 'linux', 'java', 'hadoop', 'machine learning']"/>
  </r>
  <r>
    <s v="Data Scientist"/>
    <x v="0"/>
    <x v="2"/>
    <x v="89"/>
    <s v="Berlin, Berlin, Germany"/>
    <x v="3"/>
    <s v="Tallinn, EE"/>
    <x v="2"/>
    <x v="1"/>
    <n v="3780"/>
    <s v="['pandas', 'numpy', 'spark', 'aws', 'scikit-learn', 'python', 'airflow', 'machine learning']"/>
  </r>
  <r>
    <s v="Data Scientist"/>
    <x v="0"/>
    <x v="2"/>
    <x v="125"/>
    <s v="Singapore, Singapore"/>
    <x v="12"/>
    <s v="Singapore, SG"/>
    <x v="3"/>
    <x v="0"/>
    <n v="30870"/>
    <s v="['pytorch', 'git', 'python', 'machine learning', 'tensorflow']"/>
  </r>
  <r>
    <s v="Data Scientist"/>
    <x v="0"/>
    <x v="2"/>
    <x v="126"/>
    <s v="Boston, MA . Newark, DE . Tampa, FL . Kennesaw, GA . Plano, TX + 8 More"/>
    <x v="2"/>
    <s v="Charlotte, NC, US"/>
    <x v="3"/>
    <x v="0"/>
    <n v="274280"/>
    <s v="['python', 'java', 'sql', 'hadoop', 'machine learning']"/>
  </r>
  <r>
    <s v="Data Scientist"/>
    <x v="1"/>
    <x v="2"/>
    <x v="127"/>
    <s v="New York, NY"/>
    <x v="16"/>
    <s v="Woonsocket, RI, US"/>
    <x v="5"/>
    <x v="0"/>
    <n v="300070"/>
    <s v="['sql', 'python']"/>
  </r>
  <r>
    <s v="Data Scientist"/>
    <x v="3"/>
    <x v="1"/>
    <x v="110"/>
    <s v="San Diego, CA . On-site"/>
    <x v="22"/>
    <s v="Kenilworth, NJ, US"/>
    <x v="5"/>
    <x v="0"/>
    <n v="78720"/>
    <s v="['aws', 'git', 'r', 'python', 'java', 'machine learning', 'database', 'azure', 'matplotlib']"/>
  </r>
  <r>
    <s v="Data Scientist"/>
    <x v="0"/>
    <x v="1"/>
    <x v="128"/>
    <s v="Redmond, WA"/>
    <x v="2"/>
    <s v="Menlo Park, CA, US"/>
    <x v="2"/>
    <x v="0"/>
    <n v="94540"/>
    <s v="['sql', 'machine learning', 'r', 'python']"/>
  </r>
  <r>
    <s v="Data Scientist"/>
    <x v="1"/>
    <x v="0"/>
    <x v="129"/>
    <s v="Hybrid"/>
    <x v="2"/>
    <s v="Atlanta, GA, US"/>
    <x v="2"/>
    <x v="1"/>
    <n v="360"/>
    <s v="['amazon', 'aws']"/>
  </r>
  <r>
    <s v="Data Scientist"/>
    <x v="0"/>
    <x v="1"/>
    <x v="130"/>
    <s v="San Francisco, California . On-site"/>
    <x v="3"/>
    <s v="San Francisco, CA, US"/>
    <x v="2"/>
    <x v="1"/>
    <n v="500"/>
    <s v="['amazon', 'aws']"/>
  </r>
  <r>
    <s v="Machine Learning Engineer"/>
    <x v="0"/>
    <x v="2"/>
    <x v="56"/>
    <s v="Pune, Maharashtra, India"/>
    <x v="20"/>
    <s v="KÃ¸benhavn, DK"/>
    <x v="7"/>
    <x v="1"/>
    <n v="38130"/>
    <s v="['spark', 'aws', 'powerbi', 'python', 'docker', 'sql', 'machine learning', 'gcp', 'kubernetes', 'deep learning', 'azure']"/>
  </r>
  <r>
    <s v="Data Scientist"/>
    <x v="3"/>
    <x v="2"/>
    <x v="131"/>
    <s v="Annapolis Junction, MD . Annapolis, MD . Fully Remote"/>
    <x v="2"/>
    <s v="Annapolis, MD, US"/>
    <x v="2"/>
    <x v="1"/>
    <n v="60"/>
    <s v="['linux', 'machine learning', 'python']"/>
  </r>
  <r>
    <s v="Data Scientist"/>
    <x v="0"/>
    <x v="2"/>
    <x v="132"/>
    <s v="Rosemont, IL"/>
    <x v="22"/>
    <s v="Rosemont, IL, US"/>
    <x v="5"/>
    <x v="0"/>
    <n v="28070"/>
    <s v="['git', 'r', 'python', 'bash', 'sql', 'machine learning', 'deep learning']"/>
  </r>
  <r>
    <s v="Data Scientist"/>
    <x v="1"/>
    <x v="0"/>
    <x v="59"/>
    <s v="New York, NY . Hybrid"/>
    <x v="2"/>
    <s v="Frankfurt am Main, HE, DE"/>
    <x v="3"/>
    <x v="0"/>
    <n v="68430"/>
    <s v="['pandas', 'numpy', 'scikit-learn', 'python', 'sql', 'hadoop']"/>
  </r>
  <r>
    <s v="Data Scientist"/>
    <x v="0"/>
    <x v="2"/>
    <x v="99"/>
    <s v="Hyderabad, Telangana, India"/>
    <x v="24"/>
    <s v="Boise, ID, US"/>
    <x v="2"/>
    <x v="0"/>
    <n v="40050"/>
    <s v="['pytorch', 'r', 'python', 'sql', 'machine learning', 'deep learning', 'tensorflow', 'tableau']"/>
  </r>
  <r>
    <s v="Data Scientist"/>
    <x v="2"/>
    <x v="2"/>
    <x v="24"/>
    <s v="Bengaluru, Karnataka, India"/>
    <x v="2"/>
    <s v="Bengaluru, KA, IN"/>
    <x v="2"/>
    <x v="0"/>
    <n v="222040"/>
    <s v="['deep learning', 'machine learning']"/>
  </r>
  <r>
    <s v="Data Scientist"/>
    <x v="0"/>
    <x v="1"/>
    <x v="133"/>
    <s v="Chantilly, VA . On-site"/>
    <x v="2"/>
    <s v="Reston, VA, US"/>
    <x v="2"/>
    <x v="0"/>
    <n v="26030"/>
    <s v="['aws', 'azure']"/>
  </r>
  <r>
    <s v="Data Scientist"/>
    <x v="0"/>
    <x v="2"/>
    <x v="134"/>
    <s v="Pune, Maharashtra, India"/>
    <x v="3"/>
    <s v="London, GB"/>
    <x v="3"/>
    <x v="0"/>
    <n v="68160"/>
    <s v="['powerbi', 'aws', 'python', 'sql', 'machine learning', 'tableau']"/>
  </r>
  <r>
    <s v="Data Scientist"/>
    <x v="0"/>
    <x v="2"/>
    <x v="135"/>
    <s v="Bengaluru, Karnataka, India"/>
    <x v="22"/>
    <s v="Bengaluru, KA, IN"/>
    <x v="2"/>
    <x v="0"/>
    <n v="261060"/>
    <s v="['aws', 'r', 'python', 'sql', 'neural network', 'gcp', 'azure']"/>
  </r>
  <r>
    <s v="Data Scientist"/>
    <x v="0"/>
    <x v="1"/>
    <x v="68"/>
    <s v="Orlando, FL"/>
    <x v="2"/>
    <s v="Bethesda, MD, US"/>
    <x v="2"/>
    <x v="0"/>
    <n v="108650"/>
    <s v="['machine learning']"/>
  </r>
  <r>
    <s v="Data Scientist"/>
    <x v="0"/>
    <x v="2"/>
    <x v="136"/>
    <s v="Bengaluru, Karnataka, India"/>
    <x v="5"/>
    <s v="Bengaluru, KA, IN"/>
    <x v="2"/>
    <x v="1"/>
    <n v="15440"/>
    <s v="['spark', 'python', 'sql', 'machine learning', 'deep learning', 'tensorflow']"/>
  </r>
  <r>
    <s v="Data Scientist"/>
    <x v="0"/>
    <x v="0"/>
    <x v="137"/>
    <s v="Montreal, Quebec, Canada . Hybrid"/>
    <x v="22"/>
    <s v="Dartmouth, NS, CA"/>
    <x v="2"/>
    <x v="1"/>
    <n v="31"/>
    <s v="['pandas', 'numpy', 'pytorch', 'aws', 'scikit-learn', 'python', 'sql', 'machine learning']"/>
  </r>
  <r>
    <s v="Data Scientist"/>
    <x v="3"/>
    <x v="0"/>
    <x v="138"/>
    <s v="Lebanon, NH . Hybrid"/>
    <x v="0"/>
    <s v="Bridgewater, NJ, US"/>
    <x v="5"/>
    <x v="0"/>
    <n v="613"/>
    <s v="['machine learning', 'python']"/>
  </r>
  <r>
    <s v="Data Scientist"/>
    <x v="3"/>
    <x v="1"/>
    <x v="78"/>
    <s v="Veldhoven, North Brabant, Netherlands . On-site"/>
    <x v="3"/>
    <s v="Veldhoven, NB, NL"/>
    <x v="2"/>
    <x v="0"/>
    <n v="24820"/>
    <s v="['python']"/>
  </r>
  <r>
    <s v="Data Scientist"/>
    <x v="0"/>
    <x v="2"/>
    <x v="139"/>
    <s v="United States"/>
    <x v="1"/>
    <s v="Draper, UT, US"/>
    <x v="5"/>
    <x v="0"/>
    <n v="1020"/>
    <s v="['sql', 'azure', 'r', 'python']"/>
  </r>
  <r>
    <s v="Data Scientist"/>
    <x v="0"/>
    <x v="2"/>
    <x v="140"/>
    <s v="New York, NY"/>
    <x v="26"/>
    <s v="Irving, TX, US"/>
    <x v="2"/>
    <x v="0"/>
    <n v="11060"/>
    <s v="['aws', 'git', 'python', 'sql', 'gcp', 'machine learning']"/>
  </r>
  <r>
    <s v="Data Scientist"/>
    <x v="0"/>
    <x v="1"/>
    <x v="14"/>
    <s v="Annapolis Junction, MD"/>
    <x v="2"/>
    <s v="Baltimore, MD, US"/>
    <x v="2"/>
    <x v="1"/>
    <n v="45"/>
    <s v="['sql', 'machine learning', 'r', 'python']"/>
  </r>
  <r>
    <s v="Data Scientist"/>
    <x v="0"/>
    <x v="2"/>
    <x v="141"/>
    <s v="Budapest, Budapest, Hungary"/>
    <x v="2"/>
    <s v="New York, NY, US"/>
    <x v="3"/>
    <x v="0"/>
    <n v="88990"/>
    <s v="['machine learning', 'python']"/>
  </r>
  <r>
    <s v="Data Scientist"/>
    <x v="3"/>
    <x v="2"/>
    <x v="142"/>
    <s v="Fort Meade, MD . Fort Meade, Maryland, BirleÅŸik Devletler . Fully Remote"/>
    <x v="5"/>
    <s v="Fulton, MD, US"/>
    <x v="2"/>
    <x v="1"/>
    <n v="90"/>
    <s v="['sql', 'machine learning', 'r', 'python']"/>
  </r>
  <r>
    <s v="Data Scientist"/>
    <x v="0"/>
    <x v="1"/>
    <x v="143"/>
    <s v="Mountain View, CA"/>
    <x v="1"/>
    <s v="Redmond, WA, US"/>
    <x v="2"/>
    <x v="0"/>
    <n v="182338"/>
    <s v="['sql', 'python']"/>
  </r>
  <r>
    <s v="Data Scientist"/>
    <x v="0"/>
    <x v="2"/>
    <x v="144"/>
    <s v="Bengaluru, Karnataka, India"/>
    <x v="9"/>
    <s v="New York, NY, US"/>
    <x v="2"/>
    <x v="1"/>
    <n v="3540"/>
    <s v="['pytorch', 'aws', 'git', 'python', 'docker', 'gcp', 'azure', 'tensorflow']"/>
  </r>
  <r>
    <s v="Data Scientist"/>
    <x v="1"/>
    <x v="1"/>
    <x v="145"/>
    <s v="Antwerp Metropolitan Area"/>
    <x v="20"/>
    <s v="Arlington, VA, US"/>
    <x v="2"/>
    <x v="0"/>
    <n v="20070"/>
    <s v="['powerbi', 'tableau']"/>
  </r>
  <r>
    <s v="Machine Learning Engineer"/>
    <x v="0"/>
    <x v="1"/>
    <x v="146"/>
    <s v="San Francisco, CA . Seattle, WA . New York, NY . On-site"/>
    <x v="11"/>
    <s v="Montreal, QC, CA"/>
    <x v="2"/>
    <x v="1"/>
    <n v="31"/>
    <s v="['amazon', 'aws']"/>
  </r>
  <r>
    <s v="Data Scientist"/>
    <x v="0"/>
    <x v="1"/>
    <x v="147"/>
    <s v="United States"/>
    <x v="6"/>
    <s v="Austin, TX, US"/>
    <x v="2"/>
    <x v="0"/>
    <n v="212610"/>
    <s v="['pytorch', 'aws', 'r', 'python', 'docker', 'machine learning', 'kubernetes', 'deep learning', 'tensorflow']"/>
  </r>
  <r>
    <s v="Data Scientist"/>
    <x v="0"/>
    <x v="1"/>
    <x v="148"/>
    <s v="Dublin, County Dublin, Ireland"/>
    <x v="26"/>
    <s v="Eden Prairie, MN, US"/>
    <x v="5"/>
    <x v="0"/>
    <n v="37990"/>
    <s v="['sql', 'azure', 'python']"/>
  </r>
  <r>
    <s v="Data Scientist"/>
    <x v="1"/>
    <x v="2"/>
    <x v="149"/>
    <s v="Alpharetta, GA"/>
    <x v="1"/>
    <s v="Roseland, NJ, US"/>
    <x v="2"/>
    <x v="0"/>
    <n v="65120"/>
    <s v="['spark', 'aws', 'r', 'python', 'scala', 'java', 'sql', 'machine learning', 'hadoop', 'azure', 'tensorflow', 'tableau']"/>
  </r>
  <r>
    <s v="Data Scientist"/>
    <x v="0"/>
    <x v="2"/>
    <x v="150"/>
    <s v="United States"/>
    <x v="2"/>
    <s v="Dallas, TX, US"/>
    <x v="2"/>
    <x v="0"/>
    <n v="55070"/>
    <s v="['machine learning']"/>
  </r>
  <r>
    <s v="Machine Learning Engineer"/>
    <x v="0"/>
    <x v="0"/>
    <x v="3"/>
    <s v="San Jose, CA . Hybrid"/>
    <x v="1"/>
    <s v="San Jose, CA, US"/>
    <x v="2"/>
    <x v="0"/>
    <n v="34690"/>
    <s v="['pandas', 'numpy', 'pytorch', 'spark', 'aws', 'scikit-learn', 'python', 'java', 'sql', 'machine learning', 'tensorflow']"/>
  </r>
  <r>
    <s v="Data Scientist"/>
    <x v="0"/>
    <x v="1"/>
    <x v="151"/>
    <s v="United States . On-site"/>
    <x v="3"/>
    <s v="Palo Alto, CA, US"/>
    <x v="2"/>
    <x v="1"/>
    <n v="2540"/>
    <s v="['sql', 'machine learning', 'r', 'python']"/>
  </r>
  <r>
    <s v="Machine Learning Engineer"/>
    <x v="0"/>
    <x v="2"/>
    <x v="152"/>
    <m/>
    <x v="27"/>
    <s v="Mumbai, MH, IN"/>
    <x v="2"/>
    <x v="1"/>
    <n v="910"/>
    <s v="['amazon', 'aws']"/>
  </r>
  <r>
    <s v="Data Scientist"/>
    <x v="0"/>
    <x v="2"/>
    <x v="153"/>
    <s v="Riverwoods, IL"/>
    <x v="24"/>
    <s v="Riverwoods, IL, US"/>
    <x v="2"/>
    <x v="0"/>
    <n v="14460"/>
    <s v="['sql', 'tableau']"/>
  </r>
  <r>
    <s v="Data Scientist"/>
    <x v="1"/>
    <x v="1"/>
    <x v="154"/>
    <s v="South San Francisco, CA"/>
    <x v="7"/>
    <s v="South San Francisco, CA, US"/>
    <x v="2"/>
    <x v="1"/>
    <n v="14040"/>
    <s v="['machine learning']"/>
  </r>
  <r>
    <s v="Data Scientist"/>
    <x v="3"/>
    <x v="2"/>
    <x v="155"/>
    <s v="Tallahassee, FL . Arlington, VA . Fully Remote"/>
    <x v="13"/>
    <s v="Fairfax, VA, US"/>
    <x v="3"/>
    <x v="0"/>
    <n v="7290"/>
    <s v="['r', 'python', 'sql', 'machine learning', 'database', 'deep learning']"/>
  </r>
  <r>
    <s v="Data Scientist"/>
    <x v="0"/>
    <x v="2"/>
    <x v="156"/>
    <s v="Fully Remote"/>
    <x v="2"/>
    <s v="Chicago, IL, US"/>
    <x v="2"/>
    <x v="1"/>
    <n v="960"/>
    <s v="['amazon', 'aws']"/>
  </r>
  <r>
    <s v="Data Scientist"/>
    <x v="0"/>
    <x v="0"/>
    <x v="157"/>
    <s v="San Jose, CA . Hybrid"/>
    <x v="16"/>
    <s v="New York, NY, US"/>
    <x v="2"/>
    <x v="1"/>
    <n v="750"/>
    <s v="['sql', 'machine learning', 'r', 'python']"/>
  </r>
  <r>
    <s v="Data Scientist"/>
    <x v="0"/>
    <x v="1"/>
    <x v="158"/>
    <s v="On-site"/>
    <x v="11"/>
    <s v="San Francisco, CA, US"/>
    <x v="2"/>
    <x v="1"/>
    <n v="600"/>
    <s v="['amazon', 'aws']"/>
  </r>
  <r>
    <s v="Data Scientist"/>
    <x v="0"/>
    <x v="2"/>
    <x v="159"/>
    <s v="Edinburgh, Scotland, United Kingdom"/>
    <x v="8"/>
    <s v="Edinburgh, GB"/>
    <x v="3"/>
    <x v="0"/>
    <n v="60010"/>
    <s v="['machine learning', 'python']"/>
  </r>
  <r>
    <s v="Data Scientist"/>
    <x v="0"/>
    <x v="1"/>
    <x v="160"/>
    <s v="Milwaukee, WI"/>
    <x v="3"/>
    <s v="Deerfield, IL, US"/>
    <x v="5"/>
    <x v="0"/>
    <n v="48050"/>
    <s v="['spark', 'python', 'scala', 'machine learning', 'database', 'azure', 'tableau']"/>
  </r>
  <r>
    <s v="Data Scientist"/>
    <x v="3"/>
    <x v="1"/>
    <x v="161"/>
    <s v="Pune, Maharashtra, India . On-site"/>
    <x v="5"/>
    <s v="Evanston, IL, US"/>
    <x v="2"/>
    <x v="1"/>
    <n v="12090"/>
    <s v="['amazon', 'r', 'python', 'java', 'database', 'hadoop', 'machine learning']"/>
  </r>
  <r>
    <s v="Data Scientist"/>
    <x v="0"/>
    <x v="2"/>
    <x v="162"/>
    <s v="Fully Remote"/>
    <x v="16"/>
    <s v="Washington, US"/>
    <x v="2"/>
    <x v="1"/>
    <n v="351"/>
    <s v="['amazon', 'aws']"/>
  </r>
  <r>
    <s v="Data Scientist"/>
    <x v="0"/>
    <x v="1"/>
    <x v="163"/>
    <s v="Seattle, WA"/>
    <x v="2"/>
    <s v="San Francisco, CA, US"/>
    <x v="2"/>
    <x v="0"/>
    <n v="65870"/>
    <s v="['sql', 'r', 'python']"/>
  </r>
  <r>
    <s v="Data Scientist"/>
    <x v="0"/>
    <x v="1"/>
    <x v="90"/>
    <s v="Johns Creek, GA"/>
    <x v="7"/>
    <s v="New York, NY, US"/>
    <x v="0"/>
    <x v="0"/>
    <n v="130020"/>
    <s v="['machine learning']"/>
  </r>
  <r>
    <s v="Data Scientist"/>
    <x v="0"/>
    <x v="0"/>
    <x v="164"/>
    <s v="Basking Ridge, NJ . Irving, TX . Temple Terrace, FL . Boston, MA . Ashburn, VA + 1 More . Hybrid"/>
    <x v="3"/>
    <s v="Basking Ridge, NJ, US"/>
    <x v="2"/>
    <x v="0"/>
    <n v="132060"/>
    <s v="['python', 'sql', 'machine learning', 'database', 'hadoop', 'deep learning']"/>
  </r>
  <r>
    <s v="Data Scientist"/>
    <x v="0"/>
    <x v="2"/>
    <x v="165"/>
    <s v="Itanagar, Arunachal Pradesh, India"/>
    <x v="16"/>
    <s v="Mumbai, MH, IN"/>
    <x v="3"/>
    <x v="1"/>
    <n v="78060"/>
    <s v="['pandas', 'numpy', 'pytorch', 'spark', 'aws', 'git', 'scikit-learn', 'python', 'docker', 'scipy', 'hadoop', 'machine learning', 'database', 'keras', 'deep learning', 'matplotlib', 'tensorflow']"/>
  </r>
  <r>
    <s v="Data Scientist"/>
    <x v="0"/>
    <x v="2"/>
    <x v="166"/>
    <s v="Fully Remote"/>
    <x v="28"/>
    <s v="San Francisco, CA, US"/>
    <x v="2"/>
    <x v="1"/>
    <n v="1890"/>
    <s v="['amazon', 'aws']"/>
  </r>
  <r>
    <s v="Data Scientist"/>
    <x v="0"/>
    <x v="1"/>
    <x v="13"/>
    <s v="New Brunswick, NJ"/>
    <x v="8"/>
    <s v="New Brunswick, NJ, US"/>
    <x v="5"/>
    <x v="0"/>
    <n v="128860"/>
    <s v="['aws', 'powerbi', 'r', 'python', 'airflow', 'machine learning', 'azure', 'tableau']"/>
  </r>
  <r>
    <s v="Data Scientist"/>
    <x v="0"/>
    <x v="1"/>
    <x v="167"/>
    <s v="Bellevue, WA"/>
    <x v="29"/>
    <s v="New York, NY, US"/>
    <x v="2"/>
    <x v="0"/>
    <n v="24320"/>
    <s v="['pytorch', 'scikit-learn', 'python', 'scala', 'java', 'machine learning', 'tensorflow']"/>
  </r>
  <r>
    <s v="Data Scientist"/>
    <x v="1"/>
    <x v="1"/>
    <x v="112"/>
    <s v="Phoenix, AZ"/>
    <x v="1"/>
    <s v="San Antonio, TX, US"/>
    <x v="3"/>
    <x v="1"/>
    <n v="33050"/>
    <s v="['spark', 'r', 'python', 'sql', 'machine learning', 'hadoop', 'deep learning']"/>
  </r>
  <r>
    <s v="Data Scientist"/>
    <x v="0"/>
    <x v="2"/>
    <x v="168"/>
    <s v="McLean, VA"/>
    <x v="16"/>
    <s v="Annapolis Junction, MD, US"/>
    <x v="2"/>
    <x v="1"/>
    <n v="420"/>
    <s v="['database', 'machine learning', 'python']"/>
  </r>
  <r>
    <s v="Data Scientist"/>
    <x v="1"/>
    <x v="2"/>
    <x v="169"/>
    <s v="Columbia, MD"/>
    <x v="10"/>
    <s v="Columbia, MD, US"/>
    <x v="2"/>
    <x v="1"/>
    <n v="180"/>
    <s v="['pytorch', 'spark', 'aws', 'r', 'python', 'scikit-learn', 'scala', 'sql', 'machine learning', 'gcp', 'azure', 'tensorflow']"/>
  </r>
  <r>
    <s v="Data Scientist"/>
    <x v="0"/>
    <x v="1"/>
    <x v="170"/>
    <s v="On-site"/>
    <x v="2"/>
    <s v="New York, NY, US"/>
    <x v="2"/>
    <x v="1"/>
    <n v="420"/>
    <s v="['amazon', 'aws']"/>
  </r>
  <r>
    <s v="Data Scientist"/>
    <x v="0"/>
    <x v="1"/>
    <x v="91"/>
    <s v="Utah, United States"/>
    <x v="1"/>
    <s v="Falls Church, VA, US"/>
    <x v="2"/>
    <x v="0"/>
    <n v="97070"/>
    <s v="['aws', 'gcp', 'azure']"/>
  </r>
  <r>
    <s v="Machine Learning Engineer"/>
    <x v="0"/>
    <x v="1"/>
    <x v="171"/>
    <s v="South San Francisco, CA . South San Francisco, Kalifornia, Stany Zjednoczone"/>
    <x v="12"/>
    <s v="South San Francisco, CA, US"/>
    <x v="5"/>
    <x v="1"/>
    <n v="250"/>
    <s v="['pytorch', 'python', 'machine learning', 'deep learning', 'tensorflow']"/>
  </r>
  <r>
    <s v="Data Scientist"/>
    <x v="0"/>
    <x v="0"/>
    <x v="70"/>
    <s v="Kitchener-Waterloo, ON . Toronto, ON . Hybrid"/>
    <x v="21"/>
    <s v="San Francisco, CA, US"/>
    <x v="3"/>
    <x v="1"/>
    <n v="780"/>
    <s v="['amazon', 'aws']"/>
  </r>
  <r>
    <s v="Machine Learning Engineer"/>
    <x v="0"/>
    <x v="1"/>
    <x v="85"/>
    <s v="Torrance, CA"/>
    <x v="1"/>
    <s v="Torrance, CA, US"/>
    <x v="2"/>
    <x v="0"/>
    <n v="10100"/>
    <s v="['java', 'machine learning', 'r', 'python']"/>
  </r>
  <r>
    <s v="Data Scientist"/>
    <x v="3"/>
    <x v="2"/>
    <x v="57"/>
    <s v="Fully Remote"/>
    <x v="19"/>
    <s v="San Francisco, CA, US"/>
    <x v="2"/>
    <x v="1"/>
    <n v="420"/>
    <s v="['amazon', 'aws']"/>
  </r>
  <r>
    <s v="Machine Learning Engineer"/>
    <x v="1"/>
    <x v="1"/>
    <x v="152"/>
    <m/>
    <x v="30"/>
    <s v="Mumbai, MH, IN"/>
    <x v="2"/>
    <x v="1"/>
    <n v="910"/>
    <s v="['amazon', 'aws']"/>
  </r>
  <r>
    <s v="Data Scientist"/>
    <x v="0"/>
    <x v="0"/>
    <x v="172"/>
    <s v="Greater Chicago Area . Hybrid"/>
    <x v="2"/>
    <s v="Chicago, IL, US"/>
    <x v="3"/>
    <x v="1"/>
    <n v="660"/>
    <s v="['aws', 'python', 'sql', 'machine learning', 'deep learning']"/>
  </r>
  <r>
    <s v="Data Scientist"/>
    <x v="3"/>
    <x v="1"/>
    <x v="173"/>
    <s v="Barcelona, Spain . On-site"/>
    <x v="16"/>
    <s v="Milano, IT"/>
    <x v="2"/>
    <x v="1"/>
    <n v="3800"/>
    <s v="['amazon', 'aws']"/>
  </r>
  <r>
    <s v="Data Scientist"/>
    <x v="0"/>
    <x v="1"/>
    <x v="38"/>
    <s v="Cambridge, MA"/>
    <x v="22"/>
    <s v="Cambridge, MA, US"/>
    <x v="2"/>
    <x v="0"/>
    <n v="9020"/>
    <s v="['r', 'python', 'sql', 'hadoop', 'machine learning']"/>
  </r>
  <r>
    <s v="Data Scientist"/>
    <x v="0"/>
    <x v="1"/>
    <x v="174"/>
    <s v="Normal, IL . Plymouth, MI . Palo Alto, CA . Irvine, CA . Atlanta, GA"/>
    <x v="1"/>
    <s v="Irvine, CA, US"/>
    <x v="2"/>
    <x v="0"/>
    <n v="3780"/>
    <s v="['sql', 'r', 'python']"/>
  </r>
  <r>
    <s v="Machine Learning Engineer"/>
    <x v="3"/>
    <x v="0"/>
    <x v="175"/>
    <s v="Sunnyvale, CA . Hybrid"/>
    <x v="8"/>
    <s v="San Francisco, CA, US"/>
    <x v="2"/>
    <x v="1"/>
    <n v="900"/>
    <s v="['amazon', 'aws']"/>
  </r>
  <r>
    <s v="Data Scientist"/>
    <x v="0"/>
    <x v="2"/>
    <x v="83"/>
    <s v="Fully Remote"/>
    <x v="21"/>
    <s v="Mountain View, CA, US"/>
    <x v="2"/>
    <x v="0"/>
    <n v="2780"/>
    <s v="['amazon', 'aws']"/>
  </r>
  <r>
    <s v="Data Scientist"/>
    <x v="0"/>
    <x v="1"/>
    <x v="176"/>
    <s v="Menlo Park, CA"/>
    <x v="5"/>
    <s v="Bozeman, MT, US"/>
    <x v="2"/>
    <x v="0"/>
    <n v="3760"/>
    <s v="['python']"/>
  </r>
  <r>
    <s v="Data Scientist"/>
    <x v="0"/>
    <x v="2"/>
    <x v="177"/>
    <s v="Fully Remote"/>
    <x v="12"/>
    <s v="Greenbelt, MD, US"/>
    <x v="2"/>
    <x v="1"/>
    <n v="270"/>
    <s v="['amazon', 'aws']"/>
  </r>
  <r>
    <s v="Data Scientist"/>
    <x v="0"/>
    <x v="1"/>
    <x v="178"/>
    <s v="Cincinnati, OH"/>
    <x v="2"/>
    <s v="Jacksonville, FL, US"/>
    <x v="3"/>
    <x v="0"/>
    <n v="62010"/>
    <s v="['spark', 'aws', 'python', 'sql', 'machine learning', 'gcp', 'azure']"/>
  </r>
  <r>
    <s v="Data Scientist"/>
    <x v="3"/>
    <x v="1"/>
    <x v="179"/>
    <s v="McLean, VA"/>
    <x v="7"/>
    <s v="McLean, VA, US"/>
    <x v="0"/>
    <x v="0"/>
    <n v="55120"/>
    <s v="['spark', 'aws', 'r', 'python', 'scala', 'sql', 'database', 'machine learning']"/>
  </r>
  <r>
    <s v="Data Scientist"/>
    <x v="0"/>
    <x v="1"/>
    <x v="148"/>
    <s v="Dublin, County Dublin, Ireland"/>
    <x v="1"/>
    <s v="Eden Prairie, MN, US"/>
    <x v="5"/>
    <x v="0"/>
    <n v="37970"/>
    <s v="['machine learning', 'r', 'python']"/>
  </r>
  <r>
    <s v="Data Scientist"/>
    <x v="0"/>
    <x v="1"/>
    <x v="170"/>
    <s v="On-site"/>
    <x v="2"/>
    <s v="New York, NY, US"/>
    <x v="2"/>
    <x v="1"/>
    <n v="420"/>
    <s v="['amazon', 'aws']"/>
  </r>
  <r>
    <s v="Data Scientist"/>
    <x v="3"/>
    <x v="0"/>
    <x v="180"/>
    <s v="Boston, MA . Hybrid"/>
    <x v="22"/>
    <s v="Boston, MA, US"/>
    <x v="0"/>
    <x v="0"/>
    <n v="17010"/>
    <s v="['amazon', 'aws']"/>
  </r>
  <r>
    <s v="Data Scientist"/>
    <x v="0"/>
    <x v="1"/>
    <x v="181"/>
    <s v="United States"/>
    <x v="24"/>
    <s v="Northbrook, IL, US"/>
    <x v="2"/>
    <x v="0"/>
    <n v="8270"/>
    <s v="['aws', 'r', 'python', 'linux', 'sql', 'machine learning', 'deep learning', 'azure']"/>
  </r>
  <r>
    <s v="Data Scientist"/>
    <x v="0"/>
    <x v="2"/>
    <x v="155"/>
    <s v="Arlington, VA"/>
    <x v="2"/>
    <s v="Fairfax, VA, US"/>
    <x v="3"/>
    <x v="0"/>
    <n v="7290"/>
    <s v="['r', 'python', 'sql', 'machine learning', 'database', 'deep learning']"/>
  </r>
  <r>
    <s v="Machine Learning Engineer"/>
    <x v="3"/>
    <x v="1"/>
    <x v="154"/>
    <s v="New York, NY"/>
    <x v="10"/>
    <s v="South San Francisco, CA, US"/>
    <x v="2"/>
    <x v="1"/>
    <n v="14060"/>
    <s v="['deep learning', 'machine learning', 'r', 'python']"/>
  </r>
  <r>
    <s v="Data Scientist"/>
    <x v="0"/>
    <x v="1"/>
    <x v="182"/>
    <s v="On-site"/>
    <x v="31"/>
    <s v="San Francisco, CA, US"/>
    <x v="2"/>
    <x v="1"/>
    <n v="320"/>
    <s v="['amazon', 'aws']"/>
  </r>
  <r>
    <s v="Data Scientist"/>
    <x v="3"/>
    <x v="1"/>
    <x v="183"/>
    <s v="San Francisco, CA"/>
    <x v="1"/>
    <s v="Santa Monica, CA, US"/>
    <x v="2"/>
    <x v="0"/>
    <n v="9770"/>
    <s v="['spark', 'aws', 'python', 'airflow', 'sql', 'gcp', 'machine learning']"/>
  </r>
  <r>
    <s v="Data Scientist"/>
    <x v="0"/>
    <x v="1"/>
    <x v="184"/>
    <s v="Atlanta, GA"/>
    <x v="2"/>
    <s v="Minneapolis, MN, US"/>
    <x v="3"/>
    <x v="1"/>
    <n v="1280"/>
    <s v="['pandas', 'aws', 'scikit-learn', 'python', 'sql', 'machine learning', 'gcp', 'azure', 'matplotlib']"/>
  </r>
  <r>
    <s v="Data Scientist"/>
    <x v="0"/>
    <x v="0"/>
    <x v="185"/>
    <s v="London, England, United Kingdom . Hybrid"/>
    <x v="1"/>
    <s v="Newton, MA, US"/>
    <x v="2"/>
    <x v="0"/>
    <n v="351"/>
    <s v="['sql', 'aws', 'r', 'python']"/>
  </r>
  <r>
    <s v="Data Scientist"/>
    <x v="0"/>
    <x v="0"/>
    <x v="186"/>
    <s v="Bengaluru, Karnataka, India . Hybrid"/>
    <x v="2"/>
    <s v="San Jose, CA, US"/>
    <x v="2"/>
    <x v="0"/>
    <n v="98130"/>
    <s v="['pandas', 'numpy', 'pytorch', 'aws', 'r', 'python', 'scikit-learn', 'scipy', 'sql', 'machine learning', 'deep learning', 'keras', 'azure', 'matplotlib', 'tensorflow', 'tableau']"/>
  </r>
  <r>
    <s v="Data Scientist"/>
    <x v="0"/>
    <x v="2"/>
    <x v="187"/>
    <s v="Washington, United States . Idaho, United States . Arizona, United States . Georgia, United States . South Carolina, United States + 1 More . Fully Remote"/>
    <x v="12"/>
    <s v="Seattle, WA, US"/>
    <x v="3"/>
    <x v="0"/>
    <n v="2810"/>
    <s v="['tableau', 'sql', 'r', 'python']"/>
  </r>
  <r>
    <s v="Data Scientist"/>
    <x v="3"/>
    <x v="2"/>
    <x v="188"/>
    <s v="Mexico City Metropolitan Area . Fully Remote"/>
    <x v="1"/>
    <s v="Cheyenne, WY, US"/>
    <x v="2"/>
    <x v="0"/>
    <s v="Private"/>
    <s v="['sql', 'machine learning', 'python']"/>
  </r>
  <r>
    <s v="Data Scientist"/>
    <x v="0"/>
    <x v="1"/>
    <x v="189"/>
    <s v="Englewood, CO"/>
    <x v="2"/>
    <s v="Englewood, CO, US"/>
    <x v="2"/>
    <x v="0"/>
    <n v="2520"/>
    <s v="['sql', 'r', 'python']"/>
  </r>
  <r>
    <s v="Data Scientist"/>
    <x v="0"/>
    <x v="0"/>
    <x v="190"/>
    <s v="New York, NY . Hybrid"/>
    <x v="2"/>
    <s v="New York, NY, US"/>
    <x v="2"/>
    <x v="1"/>
    <n v="500"/>
    <s v="['amazon', 'aws']"/>
  </r>
  <r>
    <s v="Data Scientist"/>
    <x v="0"/>
    <x v="2"/>
    <x v="191"/>
    <s v="Madrid, Community of Madrid, Spain"/>
    <x v="13"/>
    <s v="Amsterdam, NH, NL"/>
    <x v="2"/>
    <x v="1"/>
    <n v="5560"/>
    <s v="['spark', 'aws', 'powerbi', 'r', 'python', 'docker', 'linux', 'sql', 'azure', 'tableau']"/>
  </r>
  <r>
    <s v="Data Scientist"/>
    <x v="1"/>
    <x v="0"/>
    <x v="192"/>
    <s v="Palo Alto, CA . Hybrid"/>
    <x v="16"/>
    <s v="Palo Alto, CA, US"/>
    <x v="2"/>
    <x v="1"/>
    <n v="126"/>
    <s v="['amazon', 'aws']"/>
  </r>
  <r>
    <s v="Data Scientist"/>
    <x v="0"/>
    <x v="0"/>
    <x v="193"/>
    <s v="Seattle, WA . Hybrid"/>
    <x v="19"/>
    <s v="San Francisco, CA, US"/>
    <x v="2"/>
    <x v="1"/>
    <n v="45"/>
    <s v="['sql', 'python']"/>
  </r>
  <r>
    <s v="Data Scientist"/>
    <x v="3"/>
    <x v="0"/>
    <x v="194"/>
    <s v="Hybrid"/>
    <x v="2"/>
    <s v="Toronto, ON, CA"/>
    <x v="2"/>
    <x v="1"/>
    <n v="56"/>
    <s v="['amazon', 'aws']"/>
  </r>
  <r>
    <s v="Data Scientist"/>
    <x v="0"/>
    <x v="1"/>
    <x v="195"/>
    <s v="Toronto, Ontario, Canada"/>
    <x v="22"/>
    <s v="Toronto, ON, CA"/>
    <x v="3"/>
    <x v="1"/>
    <n v="45050"/>
    <s v="['machine learning', 'python']"/>
  </r>
  <r>
    <s v="Data Scientist"/>
    <x v="0"/>
    <x v="1"/>
    <x v="37"/>
    <s v="United States"/>
    <x v="22"/>
    <s v="Chicago, IL, US"/>
    <x v="2"/>
    <x v="1"/>
    <n v="210"/>
    <s v="['spark', 'aws', 'python', 'sql', 'machine learning', 'gcp', 'azure']"/>
  </r>
  <r>
    <s v="Data Scientist"/>
    <x v="3"/>
    <x v="1"/>
    <x v="196"/>
    <s v="New York City, New York, United States . On-site"/>
    <x v="16"/>
    <s v="San Francisco, CA, US"/>
    <x v="2"/>
    <x v="1"/>
    <n v="150"/>
    <s v="['amazon', 'aws']"/>
  </r>
  <r>
    <s v="Data Scientist"/>
    <x v="0"/>
    <x v="1"/>
    <x v="197"/>
    <s v="Lexington, MA . Massachusetts, United States"/>
    <x v="2"/>
    <s v="London, GB"/>
    <x v="2"/>
    <x v="0"/>
    <n v="1800"/>
    <s v="['aws', 'scikit-learn', 'python', 'sql', 'machine learning', 'deep learning', 'tensorflow']"/>
  </r>
  <r>
    <s v="Data Scientist"/>
    <x v="1"/>
    <x v="1"/>
    <x v="198"/>
    <s v="New York, United States"/>
    <x v="7"/>
    <s v="New York, NY, US"/>
    <x v="2"/>
    <x v="1"/>
    <n v="1020"/>
    <s v="['tableau', 'sql', 'r', 'python']"/>
  </r>
  <r>
    <s v="Data Scientist"/>
    <x v="0"/>
    <x v="1"/>
    <x v="199"/>
    <s v="Fort George G Meade, Maryland, United States . On-site"/>
    <x v="5"/>
    <s v="Catonsville, MD, US"/>
    <x v="2"/>
    <x v="1"/>
    <n v="45"/>
    <s v="['amazon', 'aws']"/>
  </r>
  <r>
    <s v="Data Scientist"/>
    <x v="3"/>
    <x v="2"/>
    <x v="188"/>
    <s v="SÃ£o Paulo, SÃ£o Paulo, Brazil . Fully Remote"/>
    <x v="10"/>
    <s v="Cheyenne, WY, US"/>
    <x v="2"/>
    <x v="0"/>
    <s v="Private"/>
    <s v="['sql', 'machine learning', 'python']"/>
  </r>
  <r>
    <s v="Data Scientist"/>
    <x v="3"/>
    <x v="1"/>
    <x v="200"/>
    <s v="Sacramento, CA"/>
    <x v="9"/>
    <s v="Sacramento, CA, US"/>
    <x v="5"/>
    <x v="0"/>
    <n v="55010"/>
    <s v="['amazon', 'aws']"/>
  </r>
  <r>
    <s v="Data Scientist"/>
    <x v="0"/>
    <x v="1"/>
    <x v="201"/>
    <s v="New York, United States . Minneapolis, MN . Chicago, IL"/>
    <x v="22"/>
    <s v="Minneapolis, MN, US"/>
    <x v="2"/>
    <x v="1"/>
    <n v="420"/>
    <s v="['git', 'r', 'python', 'docker', 'sql', 'machine learning']"/>
  </r>
  <r>
    <s v="Data Scientist"/>
    <x v="3"/>
    <x v="1"/>
    <x v="202"/>
    <s v="Bellevue, WA"/>
    <x v="2"/>
    <s v="Dania Beach, FL, US"/>
    <x v="0"/>
    <x v="0"/>
    <n v="7100"/>
    <s v="['aws', 'git', 'python', 'sql', 'machine learning']"/>
  </r>
  <r>
    <s v="Data Scientist"/>
    <x v="0"/>
    <x v="1"/>
    <x v="101"/>
    <s v="Bengaluru, Karnataka, India . Bengaluru East, Karnataka, India"/>
    <x v="5"/>
    <s v="Amsterdam, NH, NL"/>
    <x v="5"/>
    <x v="0"/>
    <n v="82030"/>
    <s v="['pytorch', 'python', 'docker', 'machine learning', 'kubernetes', 'deep learning', 'tensorflow']"/>
  </r>
  <r>
    <s v="Data Scientist"/>
    <x v="0"/>
    <x v="1"/>
    <x v="196"/>
    <s v="New York City, New York, United States . On-site"/>
    <x v="29"/>
    <s v="San Francisco, CA, US"/>
    <x v="2"/>
    <x v="1"/>
    <n v="150"/>
    <s v="['amazon', 'aws']"/>
  </r>
  <r>
    <s v="Data Scientist"/>
    <x v="1"/>
    <x v="0"/>
    <x v="203"/>
    <s v="Bengaluru, Karnataka, India . Hybrid"/>
    <x v="2"/>
    <s v="Toronto, ON, CA"/>
    <x v="3"/>
    <x v="1"/>
    <n v="7030"/>
    <s v="['aws', 'machine learning', 'gcp', 'azure', 'deep learning']"/>
  </r>
  <r>
    <s v="Machine Learning Engineer"/>
    <x v="0"/>
    <x v="1"/>
    <x v="204"/>
    <s v="Washington, DC . On-site"/>
    <x v="10"/>
    <s v="San Francisco, CA, US"/>
    <x v="2"/>
    <x v="1"/>
    <n v="3570"/>
    <s v="['deep learning', 'aws', 'machine learning', 'python']"/>
  </r>
  <r>
    <s v="Machine Learning Engineer"/>
    <x v="3"/>
    <x v="1"/>
    <x v="205"/>
    <s v="Jersey City, NJ"/>
    <x v="17"/>
    <s v="Teaneck, NJ, US"/>
    <x v="2"/>
    <x v="0"/>
    <n v="309170"/>
    <s v="['aws', 'gcp', 'azure']"/>
  </r>
  <r>
    <s v="Data Scientist"/>
    <x v="0"/>
    <x v="1"/>
    <x v="206"/>
    <s v="Los Alamos, NM"/>
    <x v="10"/>
    <s v="Los Alamos, NM, US"/>
    <x v="6"/>
    <x v="0"/>
    <n v="12802"/>
    <s v="['git', 'r', 'python', 'sql', 'machine learning', 'database', 'deep learning']"/>
  </r>
  <r>
    <s v="Machine Learning Engineer"/>
    <x v="3"/>
    <x v="1"/>
    <x v="207"/>
    <s v="Austin, TX"/>
    <x v="31"/>
    <s v="Austin, TX, US"/>
    <x v="4"/>
    <x v="0"/>
    <n v="16011"/>
    <s v="['linux', 'python']"/>
  </r>
  <r>
    <s v="Data Scientist"/>
    <x v="0"/>
    <x v="1"/>
    <x v="208"/>
    <s v="Irvine, CA"/>
    <x v="7"/>
    <s v="US"/>
    <x v="2"/>
    <x v="1"/>
    <n v="5540"/>
    <s v="['amazon', 'pytorch', 'aws', 'python', 'java', 'machine learning', 'deep learning', 'keras', 'azure', 'tensorflow']"/>
  </r>
  <r>
    <s v="Data Scientist"/>
    <x v="0"/>
    <x v="2"/>
    <x v="209"/>
    <s v="Brisbane, CA"/>
    <x v="9"/>
    <s v="South San Francisco, CA, US"/>
    <x v="5"/>
    <x v="0"/>
    <n v="660"/>
    <s v="['pandas', 'numpy', 'git', 'r', 'python', 'scikit-learn', 'machine learning', 'matplotlib']"/>
  </r>
  <r>
    <s v="Data Scientist"/>
    <x v="3"/>
    <x v="1"/>
    <x v="210"/>
    <s v="Mountain View, California, United States . On-site"/>
    <x v="18"/>
    <s v="Mountain View, CA, US"/>
    <x v="2"/>
    <x v="1"/>
    <n v="310"/>
    <s v="['amazon', 'aws']"/>
  </r>
  <r>
    <s v="Machine Learning Engineer"/>
    <x v="0"/>
    <x v="1"/>
    <x v="211"/>
    <s v="New York, NY . Boston, MA . Los Angeles, CA"/>
    <x v="30"/>
    <s v="Cambridge, MA, US"/>
    <x v="2"/>
    <x v="0"/>
    <s v="Private"/>
    <s v="['pytorch', 'machine learning']"/>
  </r>
  <r>
    <s v="Data Scientist"/>
    <x v="3"/>
    <x v="0"/>
    <x v="212"/>
    <s v="Kansas City, KS . Hybrid"/>
    <x v="2"/>
    <s v="Kansas City, KS, US"/>
    <x v="5"/>
    <x v="0"/>
    <n v="4104"/>
    <s v="['pytorch', 'r', 'python', 'machine learning', 'deep learning', 'tensorflow']"/>
  </r>
  <r>
    <s v="Data Scientist"/>
    <x v="0"/>
    <x v="1"/>
    <x v="213"/>
    <s v="Boston, MA . United States"/>
    <x v="26"/>
    <s v="Boston, MA, US"/>
    <x v="3"/>
    <x v="1"/>
    <n v="45070"/>
    <s v="['deep learning', 'machine learning']"/>
  </r>
  <r>
    <s v="Data Scientist"/>
    <x v="0"/>
    <x v="0"/>
    <x v="157"/>
    <s v="San Jose, CA . Hybrid"/>
    <x v="16"/>
    <s v="New York, NY, US"/>
    <x v="2"/>
    <x v="1"/>
    <n v="750"/>
    <s v="['sql', 'machine learning', 'r', 'python']"/>
  </r>
  <r>
    <s v="Data Scientist"/>
    <x v="2"/>
    <x v="1"/>
    <x v="214"/>
    <s v="San Diego, CA"/>
    <x v="12"/>
    <s v="San Diego, CA, US"/>
    <x v="2"/>
    <x v="1"/>
    <n v="1050"/>
    <s v="['sql', 'machine learning', 'tableau']"/>
  </r>
  <r>
    <s v="Data Scientist"/>
    <x v="0"/>
    <x v="2"/>
    <x v="215"/>
    <s v="United States . Fully Remote"/>
    <x v="10"/>
    <s v="Eden Prairie, MN, US"/>
    <x v="2"/>
    <x v="1"/>
    <n v="550"/>
    <s v="['pytorch', 'scikit-learn', 'python', 'java', 'machine learning', 'tensorflow']"/>
  </r>
  <r>
    <s v="Data Scientist"/>
    <x v="0"/>
    <x v="1"/>
    <x v="216"/>
    <s v="Bengaluru, Karnataka, India"/>
    <x v="2"/>
    <s v="San Jose, CA, US"/>
    <x v="2"/>
    <x v="1"/>
    <n v="1800"/>
    <s v="['pytorch', 'aws', 'python', 'docker', 'gcp', 'kubernetes', 'azure']"/>
  </r>
  <r>
    <s v="Data Scientist"/>
    <x v="0"/>
    <x v="0"/>
    <x v="217"/>
    <s v="Toronto, Ontario, Canada . Hybrid"/>
    <x v="12"/>
    <s v="London, GB"/>
    <x v="3"/>
    <x v="0"/>
    <n v="29480"/>
    <s v="['machine learning', 'python']"/>
  </r>
  <r>
    <s v="Data Scientist"/>
    <x v="0"/>
    <x v="1"/>
    <x v="218"/>
    <s v="Boston, MA . à¸šà¸­à¸ªà¸•à¸±à¸™, à¸£à¸±à¸à¹à¸¡à¸ªà¸‹à¸²à¸Šà¸¹à¹€à¸‹à¸•à¸ªà¹Œ, à¸ªà¸«à¸£à¸±à¸"/>
    <x v="13"/>
    <s v="Boston, MA, US"/>
    <x v="5"/>
    <x v="0"/>
    <n v="4310"/>
    <s v="['r', 'python', 'sql', 'machine learning', 'tableau']"/>
  </r>
  <r>
    <s v="Data Scientist"/>
    <x v="2"/>
    <x v="0"/>
    <x v="219"/>
    <s v="Overland Park, KS . Frisco, TX . Bellevue, WA . Hybrid"/>
    <x v="4"/>
    <s v="Bellevue, WA, US"/>
    <x v="2"/>
    <x v="0"/>
    <n v="83550"/>
    <s v="['sql', 'machine learning', 'r', 'python']"/>
  </r>
  <r>
    <s v="Data Scientist"/>
    <x v="3"/>
    <x v="1"/>
    <x v="125"/>
    <s v="Singapore, Singapore"/>
    <x v="20"/>
    <s v="Singapore, SG"/>
    <x v="3"/>
    <x v="0"/>
    <n v="30830"/>
    <s v="['spark', 'git', 'python', 'sql', 'hadoop']"/>
  </r>
  <r>
    <s v="Data Scientist"/>
    <x v="1"/>
    <x v="0"/>
    <x v="220"/>
    <s v="Lake Mary, FL . Hybrid"/>
    <x v="19"/>
    <s v="New York, NY, US"/>
    <x v="3"/>
    <x v="0"/>
    <n v="51750"/>
    <s v="['sql', 'kubernetes', 'machine learning', 'python']"/>
  </r>
  <r>
    <s v="Data Scientist"/>
    <x v="0"/>
    <x v="0"/>
    <x v="221"/>
    <s v="Vilniaus, Lithuania . Nzalae/ Nzawa locations, Kitui County, Kenya . Hybrid"/>
    <x v="18"/>
    <s v="Miami, FL, US"/>
    <x v="2"/>
    <x v="1"/>
    <n v="75"/>
    <s v="['aws', 'database', 'sql', 'machine learning', 'gcp', 'kubernetes', 'deep learning', 'azure']"/>
  </r>
  <r>
    <s v="Data Scientist"/>
    <x v="3"/>
    <x v="1"/>
    <x v="222"/>
    <s v="Brazil, Sao Paulo . On-site"/>
    <x v="10"/>
    <s v="SÃ£o Paulo, SP, BR"/>
    <x v="2"/>
    <x v="1"/>
    <n v="7070"/>
    <s v="['amazon', 'aws']"/>
  </r>
  <r>
    <s v="Data Scientist"/>
    <x v="0"/>
    <x v="1"/>
    <x v="223"/>
    <s v="Washington, DC"/>
    <x v="20"/>
    <s v="Vienna, VA, US"/>
    <x v="2"/>
    <x v="1"/>
    <n v="90"/>
    <s v="['spark', 'r', 'python', 'sql', 'machine learning']"/>
  </r>
  <r>
    <s v="Data Scientist"/>
    <x v="3"/>
    <x v="2"/>
    <x v="224"/>
    <s v="Fully Remote"/>
    <x v="20"/>
    <s v="San Diego, CA, US"/>
    <x v="2"/>
    <x v="1"/>
    <n v="126"/>
    <s v="['amazon', 'aws']"/>
  </r>
  <r>
    <s v="Data Scientist"/>
    <x v="1"/>
    <x v="2"/>
    <x v="225"/>
    <s v="Fully Remote"/>
    <x v="12"/>
    <s v="Gaithersburg, MD, US"/>
    <x v="2"/>
    <x v="1"/>
    <n v="750"/>
    <s v="['amazon', 'aws']"/>
  </r>
  <r>
    <s v="Data Scientist"/>
    <x v="0"/>
    <x v="1"/>
    <x v="226"/>
    <s v="San Francisco, CA . Chicago, IL . Seattle, WA . New York, NY"/>
    <x v="11"/>
    <s v="San Francisco, CA, US"/>
    <x v="2"/>
    <x v="1"/>
    <n v="524"/>
    <s v="['pandas', 'sql', 'python']"/>
  </r>
  <r>
    <s v="Data Scientist"/>
    <x v="0"/>
    <x v="2"/>
    <x v="227"/>
    <s v="Alpharetta, GA"/>
    <x v="5"/>
    <s v="Chicago, IL, US"/>
    <x v="5"/>
    <x v="0"/>
    <n v="6470"/>
    <s v="['pandas', 'numpy', 'aws', 'scikit-learn', 'python', 'scipy', 'database', 'matplotlib']"/>
  </r>
  <r>
    <s v="Data Scientist"/>
    <x v="0"/>
    <x v="1"/>
    <x v="228"/>
    <s v="Orlando, FL"/>
    <x v="19"/>
    <s v="Fairfax, VA, US"/>
    <x v="2"/>
    <x v="1"/>
    <n v="8520"/>
    <s v="['amazon', 'azure', 'machine learning']"/>
  </r>
  <r>
    <s v="Data Scientist"/>
    <x v="0"/>
    <x v="1"/>
    <x v="229"/>
    <s v="Plainsboro, NJ"/>
    <x v="12"/>
    <s v="BagsvÃ¦rd, DK"/>
    <x v="5"/>
    <x v="0"/>
    <n v="55215"/>
    <s v="['deep learning']"/>
  </r>
  <r>
    <s v="Machine Learning Engineer"/>
    <x v="3"/>
    <x v="0"/>
    <x v="230"/>
    <s v="New York, NY . Hybrid"/>
    <x v="29"/>
    <s v="New York, NY, US"/>
    <x v="2"/>
    <x v="1"/>
    <n v="180"/>
    <s v="['amazon', 'aws']"/>
  </r>
  <r>
    <s v="Data Scientist"/>
    <x v="0"/>
    <x v="2"/>
    <x v="231"/>
    <s v="Fully Remote"/>
    <x v="3"/>
    <s v="San Diego, CA, US"/>
    <x v="2"/>
    <x v="1"/>
    <n v="45"/>
    <s v="['amazon', 'aws']"/>
  </r>
  <r>
    <s v="Data Scientist"/>
    <x v="1"/>
    <x v="0"/>
    <x v="232"/>
    <s v="Tempe, AZ . Hybrid"/>
    <x v="15"/>
    <s v="Bloomington, IL, US"/>
    <x v="3"/>
    <x v="1"/>
    <n v="55070"/>
    <s v="['linux', 'aws', 'r', 'python']"/>
  </r>
  <r>
    <s v="Data Scientist"/>
    <x v="0"/>
    <x v="1"/>
    <x v="233"/>
    <s v="Indianapolis, IN"/>
    <x v="1"/>
    <s v="Indianapolis, IN, US"/>
    <x v="5"/>
    <x v="0"/>
    <n v="35050"/>
    <s v="['tableau']"/>
  </r>
  <r>
    <s v="Machine Learning Engineer"/>
    <x v="0"/>
    <x v="0"/>
    <x v="234"/>
    <s v="Redwood City, CA . Hybrid"/>
    <x v="12"/>
    <s v="Redwood City, CA, US"/>
    <x v="0"/>
    <x v="0"/>
    <n v="2010"/>
    <s v="['pytorch', 'spark', 'python', 'scala', 'sql', 'machine learning', 'deep learning', 'tensorflow']"/>
  </r>
  <r>
    <s v="Data Scientist"/>
    <x v="0"/>
    <x v="0"/>
    <x v="235"/>
    <s v="Santa Clara, CA . Hybrid"/>
    <x v="5"/>
    <s v="Santa Clara, CA, US"/>
    <x v="2"/>
    <x v="1"/>
    <n v="600"/>
    <s v="['pandas', 'numpy', 'pytorch', 'spark', 'aws', 'python', 'machine learning', 'gcp', 'deep learning', 'azure', 'matplotlib', 'tensorflow']"/>
  </r>
  <r>
    <s v="Data Scientist"/>
    <x v="0"/>
    <x v="1"/>
    <x v="236"/>
    <s v="Bengaluru, Karnataka, India"/>
    <x v="16"/>
    <s v="Vancouver, BC, CA"/>
    <x v="2"/>
    <x v="1"/>
    <n v="1310"/>
    <s v="['powerbi', 'python', 'sql', 'machine learning', 'deep learning', 'matplotlib', 'tableau']"/>
  </r>
  <r>
    <s v="Data Scientist"/>
    <x v="3"/>
    <x v="2"/>
    <x v="8"/>
    <s v="Fully Remote"/>
    <x v="2"/>
    <s v="Boston, MA, US"/>
    <x v="2"/>
    <x v="1"/>
    <n v="126"/>
    <s v="['amazon', 'aws']"/>
  </r>
  <r>
    <s v="Data Scientist"/>
    <x v="1"/>
    <x v="1"/>
    <x v="237"/>
    <s v="Boston, MA"/>
    <x v="12"/>
    <s v="Boston, MA, US"/>
    <x v="3"/>
    <x v="0"/>
    <n v="3040"/>
    <s v="['sql', 'machine learning', 'r', 'python']"/>
  </r>
  <r>
    <s v="Data Scientist"/>
    <x v="0"/>
    <x v="0"/>
    <x v="238"/>
    <s v="Boston, MA . Hybrid"/>
    <x v="32"/>
    <s v="Boston, MA, US"/>
    <x v="3"/>
    <x v="1"/>
    <n v="60640"/>
    <s v="['r', 'python', 'machine learning', 'keras', 'deep learning', 'tensorflow']"/>
  </r>
  <r>
    <s v="Data Scientist"/>
    <x v="1"/>
    <x v="2"/>
    <x v="73"/>
    <s v="Raleigh, NC"/>
    <x v="33"/>
    <s v="Chicago, IL, US"/>
    <x v="2"/>
    <x v="0"/>
    <n v="2570"/>
    <s v="['aws', 'scikit-learn', 'python', 'sql', 'machine learning', 'tensorflow']"/>
  </r>
  <r>
    <s v="Data Scientist"/>
    <x v="0"/>
    <x v="2"/>
    <x v="239"/>
    <s v="Fully Remote"/>
    <x v="2"/>
    <s v="Palo Alto, CA, US"/>
    <x v="2"/>
    <x v="1"/>
    <n v="300"/>
    <s v="['amazon', 'aws']"/>
  </r>
  <r>
    <s v="Data Scientist"/>
    <x v="0"/>
    <x v="1"/>
    <x v="240"/>
    <s v="Brooklyn, OH . Cleveland, OH . United States"/>
    <x v="2"/>
    <s v="Cleveland, OH, US"/>
    <x v="3"/>
    <x v="0"/>
    <n v="18030"/>
    <s v="['sql', 'r', 'python']"/>
  </r>
  <r>
    <s v="Data Scientist"/>
    <x v="0"/>
    <x v="2"/>
    <x v="241"/>
    <s v="Fully Remote"/>
    <x v="4"/>
    <s v="San Francisco, CA, US"/>
    <x v="2"/>
    <x v="1"/>
    <n v="45"/>
    <s v="['amazon', 'aws']"/>
  </r>
  <r>
    <s v="Data Scientist"/>
    <x v="3"/>
    <x v="1"/>
    <x v="242"/>
    <s v="Chicago, IL"/>
    <x v="22"/>
    <s v="CA"/>
    <x v="2"/>
    <x v="1"/>
    <n v="43933"/>
    <s v="['amazon', 'aws']"/>
  </r>
  <r>
    <s v="Data Scientist"/>
    <x v="0"/>
    <x v="1"/>
    <x v="243"/>
    <s v="South San Francisco, CA"/>
    <x v="19"/>
    <s v="South San Francisco, CA, US"/>
    <x v="2"/>
    <x v="1"/>
    <n v="126"/>
    <s v="['pytorch', 'aws', 'r', 'python', 'docker', 'scikit-learn', 'machine learning', 'gcp', 'deep learning', 'azure', 'matplotlib', 'tensorflow']"/>
  </r>
  <r>
    <s v="Data Scientist"/>
    <x v="3"/>
    <x v="1"/>
    <x v="244"/>
    <s v="Philadelphia, PA"/>
    <x v="34"/>
    <s v="Philadelphia, PA, US"/>
    <x v="4"/>
    <x v="0"/>
    <n v="39879"/>
    <s v="['sql', 'machine learning', 'r', 'python']"/>
  </r>
  <r>
    <s v="Data Scientist"/>
    <x v="1"/>
    <x v="1"/>
    <x v="184"/>
    <s v="Minneapolis, MN"/>
    <x v="2"/>
    <s v="Minneapolis, MN, US"/>
    <x v="3"/>
    <x v="1"/>
    <n v="1320"/>
    <s v="['pytorch', 'aws', 'python', 'sql', 'machine learning', 'gcp', 'azure', 'tensorflow']"/>
  </r>
  <r>
    <s v="Data Scientist"/>
    <x v="0"/>
    <x v="0"/>
    <x v="221"/>
    <s v="Bucharest, Bucharest, Romania . Vilnius, Vilniaus, Lithuania . Estonia . Bulgaria . Poland + 11 More . Hybrid"/>
    <x v="16"/>
    <s v="Miami, FL, US"/>
    <x v="2"/>
    <x v="1"/>
    <n v="75"/>
    <s v="['aws', 'database', 'sql', 'machine learning', 'gcp', 'kubernetes', 'deep learning', 'azure']"/>
  </r>
  <r>
    <s v="Data Scientist"/>
    <x v="0"/>
    <x v="2"/>
    <x v="245"/>
    <s v="United States . Fully Remote"/>
    <x v="10"/>
    <s v="Rockville, MD, US"/>
    <x v="5"/>
    <x v="1"/>
    <n v="490"/>
    <s v="['pandas', 'numpy', 'aws', 'git', 'scikit-learn', 'python', 'sql', 'gcp', 'database', 'machine learning']"/>
  </r>
  <r>
    <s v="Machine Learning Engineer"/>
    <x v="0"/>
    <x v="2"/>
    <x v="246"/>
    <s v="Fully Remote"/>
    <x v="2"/>
    <s v="Chicago, IL, US"/>
    <x v="2"/>
    <x v="0"/>
    <n v="990"/>
    <s v="['amazon', 'aws']"/>
  </r>
  <r>
    <s v="Data Scientist"/>
    <x v="0"/>
    <x v="0"/>
    <x v="247"/>
    <s v="San Francisco, California, United States . San Francisco, California, USA . Hybrid"/>
    <x v="2"/>
    <s v="Pittsburgh, PA, US"/>
    <x v="5"/>
    <x v="1"/>
    <n v="45"/>
    <s v="['amazon', 'aws']"/>
  </r>
  <r>
    <s v="Data Scientist"/>
    <x v="0"/>
    <x v="0"/>
    <x v="248"/>
    <s v="Chicago, IL . Ø¥Ù„ÙŠÙ†ÙˆÙŠ Ø´ÙŠÙƒØ§ØºÙˆ Ø§Ù„ÙˆÙ„Ø§ÙŠØ§Øª Ø§Ù„Ù…ØªØ­Ø¯Ø© . Hybrid"/>
    <x v="16"/>
    <s v="Chicago, IL, US"/>
    <x v="5"/>
    <x v="1"/>
    <n v="420"/>
    <s v="['sql', 'machine learning', 'scikit-learn', 'python']"/>
  </r>
  <r>
    <s v="Data Scientist"/>
    <x v="0"/>
    <x v="0"/>
    <x v="69"/>
    <s v="Austin, Texas . Hybrid"/>
    <x v="8"/>
    <s v="San Jose, CA, US"/>
    <x v="2"/>
    <x v="0"/>
    <n v="2760"/>
    <s v="['amazon', 'aws']"/>
  </r>
  <r>
    <s v="Data Scientist"/>
    <x v="0"/>
    <x v="1"/>
    <x v="249"/>
    <s v="San Diego, CA"/>
    <x v="2"/>
    <s v="San Diego, CA, US"/>
    <x v="5"/>
    <x v="0"/>
    <n v="4040"/>
    <s v="['r', 'python', 'scala', 'sql', 'gcp']"/>
  </r>
  <r>
    <s v="Data Scientist"/>
    <x v="1"/>
    <x v="1"/>
    <x v="250"/>
    <s v="Salt Lake City Metropolitan Area"/>
    <x v="12"/>
    <s v="Salt Lake City, UT, US"/>
    <x v="4"/>
    <x v="1"/>
    <n v="9030"/>
    <s v="['sql', 'machine learning', 'python']"/>
  </r>
  <r>
    <s v="Data Scientist"/>
    <x v="3"/>
    <x v="1"/>
    <x v="251"/>
    <s v="Pune, Maharashtra, India"/>
    <x v="12"/>
    <s v="London, GB"/>
    <x v="3"/>
    <x v="0"/>
    <n v="205350"/>
    <s v="['scikit-learn', 'python', 'sql', 'database', 'machine learning']"/>
  </r>
  <r>
    <s v="Data Scientist"/>
    <x v="2"/>
    <x v="1"/>
    <x v="252"/>
    <s v="Queenstown, Central Singapore Community Development Council, Singapore"/>
    <x v="5"/>
    <s v="Singapore, SG"/>
    <x v="4"/>
    <x v="1"/>
    <n v="210"/>
    <s v="['tableau', 'r', 'python']"/>
  </r>
  <r>
    <s v="Data Scientist"/>
    <x v="3"/>
    <x v="2"/>
    <x v="253"/>
    <s v="Brookfield, WI . Fully Remote"/>
    <x v="12"/>
    <s v="Seattle, WA, US"/>
    <x v="5"/>
    <x v="1"/>
    <n v="3810"/>
    <s v="['aws', 'r', 'python', 'sql', 'machine learning']"/>
  </r>
  <r>
    <s v="Data Scientist"/>
    <x v="0"/>
    <x v="0"/>
    <x v="254"/>
    <s v="Yonkers, New York, United States . Hybrid"/>
    <x v="35"/>
    <s v="Yonkers, NY, US"/>
    <x v="5"/>
    <x v="1"/>
    <n v="683"/>
    <s v="['amazon', 'aws']"/>
  </r>
  <r>
    <s v="Data Scientist"/>
    <x v="0"/>
    <x v="0"/>
    <x v="255"/>
    <s v="Berlin, Berlin, Germany . Hybrid"/>
    <x v="2"/>
    <s v="Berlin, DE"/>
    <x v="2"/>
    <x v="1"/>
    <n v="8350"/>
    <s v="['scala', 'spark', 'machine learning', 'python']"/>
  </r>
  <r>
    <s v="Data Scientist"/>
    <x v="1"/>
    <x v="0"/>
    <x v="256"/>
    <s v="Golden Valley, MN . Austin, TX . Hybrid"/>
    <x v="12"/>
    <s v="Austin, TX, US"/>
    <x v="2"/>
    <x v="0"/>
    <n v="4770"/>
    <s v="['pandas', 'numpy', 'pytorch', 'spark', 'aws', 'git', 'r', 'python', 'scikit-learn', 'sql', 'machine learning', 'keras', 'azure', 'tensorflow']"/>
  </r>
  <r>
    <s v="Data Scientist"/>
    <x v="0"/>
    <x v="0"/>
    <x v="257"/>
    <s v="Chicago, IL . Hybrid"/>
    <x v="22"/>
    <s v="Chicago, IL, US"/>
    <x v="2"/>
    <x v="1"/>
    <n v="51270"/>
    <s v="['git', 'r', 'python', 'sql', 'machine learning', 'deep learning']"/>
  </r>
  <r>
    <s v="Data Scientist"/>
    <x v="0"/>
    <x v="2"/>
    <x v="258"/>
    <s v="Fully Remote"/>
    <x v="26"/>
    <s v="Denver, CO, US"/>
    <x v="2"/>
    <x v="0"/>
    <n v="2540"/>
    <s v="['amazon', 'aws']"/>
  </r>
  <r>
    <s v="Data Scientist"/>
    <x v="0"/>
    <x v="1"/>
    <x v="259"/>
    <s v="Ukraine"/>
    <x v="10"/>
    <s v="Austin, TX, US"/>
    <x v="2"/>
    <x v="1"/>
    <n v="10270"/>
    <s v="['amazon', 'pytorch', 'python', 'machine learning', 'deep learning', 'tensorflow']"/>
  </r>
  <r>
    <s v="Data Scientist"/>
    <x v="1"/>
    <x v="2"/>
    <x v="260"/>
    <s v="Fully Remote"/>
    <x v="2"/>
    <s v="New York, NY, US"/>
    <x v="5"/>
    <x v="1"/>
    <n v="180"/>
    <s v="['amazon', 'aws']"/>
  </r>
  <r>
    <s v="Data Scientist"/>
    <x v="3"/>
    <x v="1"/>
    <x v="173"/>
    <s v="Barcelona, Spain . On-site"/>
    <x v="2"/>
    <s v="Milano, IT"/>
    <x v="2"/>
    <x v="1"/>
    <n v="3780"/>
    <s v="['amazon', 'aws']"/>
  </r>
  <r>
    <s v="Data Scientist"/>
    <x v="3"/>
    <x v="0"/>
    <x v="261"/>
    <s v="Hybrid"/>
    <x v="2"/>
    <s v="Paris, IDF, FR"/>
    <x v="2"/>
    <x v="1"/>
    <n v="180"/>
    <s v="['amazon', 'aws']"/>
  </r>
  <r>
    <s v="Data Scientist"/>
    <x v="0"/>
    <x v="2"/>
    <x v="262"/>
    <s v="Fully Remote"/>
    <x v="36"/>
    <s v="San Francisco, CA, US"/>
    <x v="6"/>
    <x v="1"/>
    <n v="90"/>
    <s v="['amazon', 'aws']"/>
  </r>
  <r>
    <s v="Data Scientist"/>
    <x v="3"/>
    <x v="1"/>
    <x v="263"/>
    <s v="San Francisco, CA"/>
    <x v="23"/>
    <s v="Santa Monica, CA, US"/>
    <x v="2"/>
    <x v="0"/>
    <n v="9300"/>
    <s v="['spark', 'aws', 'python', 'airflow', 'sql', 'gcp', 'machine learning']"/>
  </r>
  <r>
    <s v="Data Scientist"/>
    <x v="3"/>
    <x v="1"/>
    <x v="264"/>
    <s v="Rockville, MD"/>
    <x v="2"/>
    <s v="Brentford, GB"/>
    <x v="5"/>
    <x v="0"/>
    <n v="106370"/>
    <s v="['machine learning', 'r', 'python']"/>
  </r>
  <r>
    <s v="Data Scientist"/>
    <x v="0"/>
    <x v="0"/>
    <x v="190"/>
    <s v="New York, NY . Hybrid"/>
    <x v="16"/>
    <s v="New York, NY, US"/>
    <x v="2"/>
    <x v="1"/>
    <n v="500"/>
    <s v="['amazon', 'aws']"/>
  </r>
  <r>
    <s v="Data Scientist"/>
    <x v="1"/>
    <x v="1"/>
    <x v="31"/>
    <s v="Seattle, WA"/>
    <x v="12"/>
    <s v="Seattle, WA, US"/>
    <x v="0"/>
    <x v="0"/>
    <n v="157150"/>
    <s v="['python', 'sql', 'machine learning', 'azure', 'tableau']"/>
  </r>
  <r>
    <s v="Data Scientist"/>
    <x v="0"/>
    <x v="2"/>
    <x v="265"/>
    <s v="United States"/>
    <x v="12"/>
    <s v="Chicago, IL, US"/>
    <x v="2"/>
    <x v="1"/>
    <n v="960"/>
    <s v="['spark', 'aws', 'git', 'r', 'python', 'powerbi', 'scala', 'java', 'sql', 'machine learning', 'gcp', 'hadoop', 'azure', 'matplotlib', 'tableau']"/>
  </r>
  <r>
    <s v="Data Scientist"/>
    <x v="1"/>
    <x v="1"/>
    <x v="266"/>
    <s v="United States"/>
    <x v="10"/>
    <s v="Coraopolis, PA, US"/>
    <x v="0"/>
    <x v="0"/>
    <n v="50040"/>
    <s v="['pytorch', 'spark', 'python', 'machine learning', 'deep learning', 'azure', 'tensorflow']"/>
  </r>
  <r>
    <s v="Data Scientist"/>
    <x v="0"/>
    <x v="2"/>
    <x v="267"/>
    <s v="Fully Remote"/>
    <x v="20"/>
    <s v="Boston, MA, US"/>
    <x v="5"/>
    <x v="1"/>
    <n v="360"/>
    <s v="['amazon', 'aws']"/>
  </r>
  <r>
    <s v="Data Scientist"/>
    <x v="0"/>
    <x v="0"/>
    <x v="268"/>
    <s v="Minneapolis, MN . Hybrid"/>
    <x v="12"/>
    <s v="Sugar Land, TX, US"/>
    <x v="5"/>
    <x v="1"/>
    <n v="751"/>
    <s v="['sql', 'machine learning', 'r', 'python']"/>
  </r>
  <r>
    <s v="Data Scientist"/>
    <x v="3"/>
    <x v="0"/>
    <x v="269"/>
    <s v="Hybrid"/>
    <x v="30"/>
    <s v="Berkeley, CA, US"/>
    <x v="2"/>
    <x v="1"/>
    <n v="180"/>
    <s v="['amazon', 'aws']"/>
  </r>
  <r>
    <s v="Data Scientist"/>
    <x v="0"/>
    <x v="2"/>
    <x v="270"/>
    <s v="India, Bengaluru . Fully Remote"/>
    <x v="22"/>
    <s v="London, GB"/>
    <x v="2"/>
    <x v="1"/>
    <n v="900"/>
    <s v="['amazon', 'aws']"/>
  </r>
  <r>
    <s v="Machine Learning Engineer"/>
    <x v="0"/>
    <x v="1"/>
    <x v="271"/>
    <s v="Colorado Springs, CO"/>
    <x v="10"/>
    <s v="Huntsville, AL, US"/>
    <x v="2"/>
    <x v="1"/>
    <n v="1040"/>
    <s v="['pytorch', 'scikit-learn', 'machine learning', 'tensorflow']"/>
  </r>
  <r>
    <s v="Data Scientist"/>
    <x v="0"/>
    <x v="0"/>
    <x v="272"/>
    <s v="San Francisco, CA . Hybrid"/>
    <x v="23"/>
    <s v="San Francisco, CA, US"/>
    <x v="2"/>
    <x v="1"/>
    <n v="780"/>
    <s v="['amazon', 'aws']"/>
  </r>
  <r>
    <s v="Data Scientist"/>
    <x v="0"/>
    <x v="1"/>
    <x v="120"/>
    <s v="Chicago, IL"/>
    <x v="12"/>
    <s v="South Bend, IN, US"/>
    <x v="5"/>
    <x v="0"/>
    <n v="2540"/>
    <s v="['powerbi', 'r', 'python', 'sql', 'database', 'hadoop', 'tableau']"/>
  </r>
  <r>
    <s v="Data Scientist"/>
    <x v="0"/>
    <x v="1"/>
    <x v="273"/>
    <s v="On-site"/>
    <x v="11"/>
    <s v="Redwood City, CA, US"/>
    <x v="2"/>
    <x v="1"/>
    <n v="600"/>
    <s v="['amazon', 'aws']"/>
  </r>
  <r>
    <s v="Data Scientist"/>
    <x v="3"/>
    <x v="0"/>
    <x v="269"/>
    <s v="Hybrid"/>
    <x v="14"/>
    <s v="Berkeley, CA, US"/>
    <x v="2"/>
    <x v="1"/>
    <n v="180"/>
    <s v="['amazon', 'aws']"/>
  </r>
  <r>
    <s v="Data Scientist"/>
    <x v="3"/>
    <x v="1"/>
    <x v="274"/>
    <s v="South San Francisco, California, United States . On-site"/>
    <x v="16"/>
    <s v="San Francisco, CA, US"/>
    <x v="2"/>
    <x v="1"/>
    <n v="45"/>
    <s v="['amazon', 'aws']"/>
  </r>
  <r>
    <s v="Data Scientist"/>
    <x v="0"/>
    <x v="1"/>
    <x v="275"/>
    <s v="Singapore, Singapore"/>
    <x v="2"/>
    <s v="SG"/>
    <x v="2"/>
    <x v="1"/>
    <n v="6040"/>
    <s v="['database']"/>
  </r>
  <r>
    <s v="Data Scientist"/>
    <x v="1"/>
    <x v="1"/>
    <x v="276"/>
    <s v="Sacramento, California, United States . Jacksonville, Florida, United States . Austin, Texas, United States . Mexico City, Mexico . Ottawa, Ontario, Canada + 17 More . On-site"/>
    <x v="16"/>
    <s v="San Francisco, CA, US"/>
    <x v="2"/>
    <x v="1"/>
    <n v="420"/>
    <s v="['amazon', 'aws']"/>
  </r>
  <r>
    <s v="Data Scientist"/>
    <x v="3"/>
    <x v="1"/>
    <x v="277"/>
    <s v="Annapolis Junction, Maryland, United States . On-site"/>
    <x v="12"/>
    <s v="Herndon, VA, US"/>
    <x v="2"/>
    <x v="1"/>
    <n v="57"/>
    <s v="['amazon', 'aws']"/>
  </r>
  <r>
    <s v="Data Scientist"/>
    <x v="0"/>
    <x v="2"/>
    <x v="278"/>
    <s v="Fully Remote"/>
    <x v="16"/>
    <s v="El Segundo, CA, US"/>
    <x v="2"/>
    <x v="1"/>
    <n v="45"/>
    <s v="['amazon', 'aws']"/>
  </r>
  <r>
    <s v="Data Scientist"/>
    <x v="0"/>
    <x v="0"/>
    <x v="279"/>
    <s v="United States . Hybrid"/>
    <x v="19"/>
    <s v="Boston, MA, US"/>
    <x v="2"/>
    <x v="0"/>
    <n v="3050"/>
    <s v="['pytorch', 'aws', 'scikit-learn', 'python', 'sql', 'machine learning', 'deep learning', 'tensorflow']"/>
  </r>
  <r>
    <s v="Data Scientist"/>
    <x v="0"/>
    <x v="1"/>
    <x v="280"/>
    <s v="Fort Huachuca, AZ . Fort Huachuca, Arizona, United States"/>
    <x v="26"/>
    <s v="Herndon, VA, US"/>
    <x v="2"/>
    <x v="1"/>
    <n v="5060"/>
    <s v="['amazon', 'aws']"/>
  </r>
  <r>
    <s v="Data Scientist"/>
    <x v="0"/>
    <x v="1"/>
    <x v="281"/>
    <s v="Richmond, VA"/>
    <x v="3"/>
    <s v="Plano, TX, US"/>
    <x v="2"/>
    <x v="1"/>
    <n v="2300"/>
    <s v="['git', 'r', 'python', 'sql', 'machine learning']"/>
  </r>
  <r>
    <s v="Data Scientist"/>
    <x v="0"/>
    <x v="1"/>
    <x v="280"/>
    <s v="Ashburn, VA"/>
    <x v="23"/>
    <s v="Herndon, VA, US"/>
    <x v="2"/>
    <x v="1"/>
    <n v="5030"/>
    <s v="['spark', 'aws', 'r', 'python', 'scala', 'java', 'sql', 'machine learning', 'hadoop', 'azure', 'tableau']"/>
  </r>
  <r>
    <s v="Data Scientist"/>
    <x v="1"/>
    <x v="1"/>
    <x v="282"/>
    <s v="New York, NY"/>
    <x v="36"/>
    <s v="New York, NY, US"/>
    <x v="2"/>
    <x v="1"/>
    <n v="2060"/>
    <s v="['spark', 'aws', 'python', 'sql', 'machine learning']"/>
  </r>
  <r>
    <s v="Data Scientist"/>
    <x v="0"/>
    <x v="1"/>
    <x v="283"/>
    <s v="Greater Milwaukee"/>
    <x v="3"/>
    <s v="Green Bay, WI, US"/>
    <x v="0"/>
    <x v="0"/>
    <n v="4760"/>
    <s v="['spark', 'aws', 'r', 'python', 'scala', 'sql', 'machine learning', 'gcp', 'deep learning', 'hadoop', 'azure', 'tableau']"/>
  </r>
  <r>
    <s v="Data Scientist"/>
    <x v="1"/>
    <x v="1"/>
    <x v="218"/>
    <s v="Boston, MA"/>
    <x v="29"/>
    <s v="Boston, MA, US"/>
    <x v="5"/>
    <x v="1"/>
    <n v="4270"/>
    <s v="['r', 'python', 'sql', 'machine learning', 'tableau']"/>
  </r>
  <r>
    <s v="Data Scientist"/>
    <x v="0"/>
    <x v="0"/>
    <x v="284"/>
    <s v="Maplewood, MN . Hybrid"/>
    <x v="12"/>
    <s v="Maplewood, MN, US"/>
    <x v="5"/>
    <x v="0"/>
    <n v="22030"/>
    <s v="['machine learning', 'r', 'python']"/>
  </r>
  <r>
    <s v="Data Scientist"/>
    <x v="0"/>
    <x v="1"/>
    <x v="285"/>
    <s v="San Francisco, CA"/>
    <x v="20"/>
    <s v="San Francisco, CA, US"/>
    <x v="3"/>
    <x v="1"/>
    <n v="90"/>
    <s v="['amazon', 'machine learning']"/>
  </r>
  <r>
    <s v="Data Scientist"/>
    <x v="0"/>
    <x v="0"/>
    <x v="286"/>
    <s v="Austin, TX . Hybrid"/>
    <x v="10"/>
    <s v="Austin, TX, US"/>
    <x v="2"/>
    <x v="1"/>
    <n v="330"/>
    <s v="['pandas', 'numpy', 'aws', 'r', 'python', 'scikit-learn', 'airflow', 'sql', 'machine learning', 'gcp', 'azure', 'matplotlib', 'tableau']"/>
  </r>
  <r>
    <s v="Data Scientist"/>
    <x v="0"/>
    <x v="0"/>
    <x v="226"/>
    <s v="San Francisco, CA . Hybrid"/>
    <x v="19"/>
    <s v="San Francisco, CA, US"/>
    <x v="2"/>
    <x v="1"/>
    <n v="524"/>
    <s v="['sql', 'machine learning', 'python']"/>
  </r>
  <r>
    <s v="Data Scientist"/>
    <x v="2"/>
    <x v="2"/>
    <x v="287"/>
    <s v="Dallas, TX"/>
    <x v="10"/>
    <s v="Dallas, TX, US"/>
    <x v="5"/>
    <x v="1"/>
    <n v="2840"/>
    <s v="['machine learning', 'r', 'python']"/>
  </r>
  <r>
    <s v="Data Scientist"/>
    <x v="1"/>
    <x v="1"/>
    <x v="288"/>
    <s v="Elsbethen, Salzburg, Austria"/>
    <x v="12"/>
    <s v="Fuschl am See, AT"/>
    <x v="6"/>
    <x v="1"/>
    <n v="13070"/>
    <s v="['sql', 'git', 'r', 'python']"/>
  </r>
  <r>
    <s v="Data Scientist"/>
    <x v="3"/>
    <x v="1"/>
    <x v="289"/>
    <s v="San Francisco, CA . On-site"/>
    <x v="11"/>
    <s v="San Francisco, CA, US"/>
    <x v="2"/>
    <x v="1"/>
    <n v="90"/>
    <s v="['amazon', 'aws']"/>
  </r>
  <r>
    <s v="Data Scientist"/>
    <x v="1"/>
    <x v="0"/>
    <x v="290"/>
    <s v="Los Angeles, CA . Hybrid"/>
    <x v="2"/>
    <s v="Los Angeles, CA, US"/>
    <x v="2"/>
    <x v="1"/>
    <n v="150"/>
    <s v="['amazon', 'aws']"/>
  </r>
  <r>
    <s v="Data Scientist"/>
    <x v="3"/>
    <x v="0"/>
    <x v="291"/>
    <s v="Hybrid"/>
    <x v="18"/>
    <s v="San Francisco, CA, US"/>
    <x v="2"/>
    <x v="1"/>
    <n v="45"/>
    <s v="['amazon', 'aws']"/>
  </r>
  <r>
    <s v="Data Scientist"/>
    <x v="0"/>
    <x v="0"/>
    <x v="292"/>
    <s v="Chicago, Illinois, United States . Hybrid"/>
    <x v="12"/>
    <s v="Buffalo Grove, IL, US"/>
    <x v="1"/>
    <x v="1"/>
    <n v="420"/>
    <s v="['amazon', 'aws']"/>
  </r>
  <r>
    <s v="Data Scientist"/>
    <x v="0"/>
    <x v="2"/>
    <x v="293"/>
    <s v="Fully Remote"/>
    <x v="15"/>
    <s v="Ann Arbor, MI, US"/>
    <x v="2"/>
    <x v="1"/>
    <n v="210"/>
    <s v="['amazon', 'aws']"/>
  </r>
  <r>
    <s v="Data Scientist"/>
    <x v="1"/>
    <x v="2"/>
    <x v="294"/>
    <s v="Detroit, MI"/>
    <x v="8"/>
    <s v="Columbus, OH, US"/>
    <x v="3"/>
    <x v="0"/>
    <n v="26010"/>
    <s v="['aws', 'r', 'python', 'scikit-learn', 'sql', 'machine learning', 'database', 'deep learning', 'tensorflow']"/>
  </r>
  <r>
    <s v="Data Scientist"/>
    <x v="2"/>
    <x v="1"/>
    <x v="295"/>
    <s v="Miami, FL"/>
    <x v="10"/>
    <s v="Chicago, IL, US"/>
    <x v="3"/>
    <x v="1"/>
    <n v="3790"/>
    <s v="['pandas', 'spark', 'r', 'python', 'scikit-learn', 'sql', 'gcp', 'machine learning', 'tensorflow', 'tableau']"/>
  </r>
  <r>
    <s v="Data Scientist"/>
    <x v="1"/>
    <x v="1"/>
    <x v="296"/>
    <s v="New York County, NY"/>
    <x v="10"/>
    <s v="Chicago, IL, US"/>
    <x v="0"/>
    <x v="1"/>
    <n v="14460"/>
    <s v="['amazon', 'aws']"/>
  </r>
  <r>
    <s v="Data Scientist"/>
    <x v="1"/>
    <x v="0"/>
    <x v="297"/>
    <s v="Los Angeles, CA . Hybrid"/>
    <x v="2"/>
    <s v="Los Angeles, CA, US"/>
    <x v="2"/>
    <x v="1"/>
    <n v="150"/>
    <s v="['amazon', 'aws']"/>
  </r>
  <r>
    <s v="Data Scientist"/>
    <x v="0"/>
    <x v="1"/>
    <x v="298"/>
    <s v="United States"/>
    <x v="2"/>
    <s v="San Francisco, CA, US"/>
    <x v="2"/>
    <x v="0"/>
    <n v="1780"/>
    <s v="['pytorch', 'aws', 'r', 'python', 'sql', 'machine learning', 'database', 'deep learning', 'tensorflow']"/>
  </r>
  <r>
    <s v="Data Scientist"/>
    <x v="0"/>
    <x v="1"/>
    <x v="299"/>
    <s v="Boston, MA"/>
    <x v="10"/>
    <s v="San Francisco, CA, US"/>
    <x v="3"/>
    <x v="1"/>
    <n v="700"/>
    <s v="['amazon', 'spark', 'git', 'r', 'python', 'linux', 'java', 'sql', 'machine learning', 'database', 'azure']"/>
  </r>
  <r>
    <s v="Data Scientist"/>
    <x v="0"/>
    <x v="0"/>
    <x v="300"/>
    <s v="New York, NY . Hybrid"/>
    <x v="1"/>
    <s v="New York, NY, US"/>
    <x v="0"/>
    <x v="0"/>
    <n v="1800"/>
    <s v="['amazon', 'r', 'python', 'sql', 'machine learning']"/>
  </r>
  <r>
    <s v="Data Scientist"/>
    <x v="0"/>
    <x v="1"/>
    <x v="301"/>
    <s v="Lake Oswego, OR . Portland, OR . Hillsboro, OR"/>
    <x v="16"/>
    <s v="Roseburg, OR, US"/>
    <x v="3"/>
    <x v="0"/>
    <n v="3780"/>
    <s v="['aws', 'r', 'python', 'sql', 'machine learning', 'azure']"/>
  </r>
  <r>
    <s v="Data Scientist"/>
    <x v="3"/>
    <x v="1"/>
    <x v="302"/>
    <s v="San Francisco Bay Area . On-site"/>
    <x v="22"/>
    <s v="San Francisco, CA, US"/>
    <x v="2"/>
    <x v="1"/>
    <n v="300"/>
    <s v="['pandas', 'numpy', 'pytorch', 'aws', 'scikit-learn', 'python', 'tensorflow']"/>
  </r>
  <r>
    <s v="Data Scientist"/>
    <x v="0"/>
    <x v="1"/>
    <x v="303"/>
    <s v="United States"/>
    <x v="13"/>
    <s v="Omaha, NE, US"/>
    <x v="2"/>
    <x v="1"/>
    <n v="90"/>
    <s v="['sql', 'machine learning', 'r', 'python']"/>
  </r>
  <r>
    <s v="Data Scientist"/>
    <x v="3"/>
    <x v="1"/>
    <x v="304"/>
    <s v="Alameda, CA"/>
    <x v="16"/>
    <s v="Alameda, CA, US"/>
    <x v="5"/>
    <x v="0"/>
    <n v="2320"/>
    <s v="['amazon', 'aws']"/>
  </r>
  <r>
    <s v="Data Scientist"/>
    <x v="0"/>
    <x v="2"/>
    <x v="305"/>
    <s v="United States . Fully Remote"/>
    <x v="10"/>
    <s v="Miami, FL, US"/>
    <x v="3"/>
    <x v="1"/>
    <n v="226"/>
    <s v="['sql', 'python']"/>
  </r>
  <r>
    <s v="Data Scientist"/>
    <x v="0"/>
    <x v="1"/>
    <x v="306"/>
    <s v="United States"/>
    <x v="2"/>
    <s v="Reston, VA, US"/>
    <x v="2"/>
    <x v="0"/>
    <n v="34020"/>
    <s v="['pandas', 'pytorch', 'aws', 'r', 'python', 'linux', 'java', 'machine learning', 'gcp', 'deep learning', 'azure', 'tensorflow']"/>
  </r>
  <r>
    <s v="Data Scientist"/>
    <x v="0"/>
    <x v="1"/>
    <x v="307"/>
    <s v="Grand Rapids, MI"/>
    <x v="2"/>
    <s v="Grand Rapids, MI, US"/>
    <x v="0"/>
    <x v="1"/>
    <n v="70060"/>
    <s v="['pandas', 'numpy', 'pytorch', 'r', 'python', 'sql', 'machine learning', 'azure', 'tensorflow']"/>
  </r>
  <r>
    <s v="Data Scientist"/>
    <x v="0"/>
    <x v="1"/>
    <x v="308"/>
    <s v="Ahmedabad, Gujarat, India . Bengaluru, Karnataka, India"/>
    <x v="12"/>
    <s v="New York, NY, US"/>
    <x v="2"/>
    <x v="0"/>
    <n v="26670"/>
    <s v="['pytorch', 'deep learning', 'machine learning', 'python']"/>
  </r>
  <r>
    <s v="Data Scientist"/>
    <x v="0"/>
    <x v="1"/>
    <x v="237"/>
    <s v="New York, NY"/>
    <x v="24"/>
    <s v="Boston, MA, US"/>
    <x v="3"/>
    <x v="0"/>
    <n v="3060"/>
    <s v="['kubernetes', 'machine learning', 'python']"/>
  </r>
  <r>
    <s v="Machine Learning Engineer"/>
    <x v="3"/>
    <x v="0"/>
    <x v="309"/>
    <s v="Hybrid"/>
    <x v="17"/>
    <s v="San Francisco, CA, US"/>
    <x v="6"/>
    <x v="1"/>
    <n v="1910"/>
    <s v="['amazon', 'aws']"/>
  </r>
  <r>
    <s v="Data Scientist"/>
    <x v="0"/>
    <x v="0"/>
    <x v="69"/>
    <s v="New York, New York . Hybrid"/>
    <x v="8"/>
    <s v="San Jose, CA, US"/>
    <x v="2"/>
    <x v="0"/>
    <n v="2760"/>
    <s v="['amazon', 'aws']"/>
  </r>
  <r>
    <s v="Data Scientist"/>
    <x v="0"/>
    <x v="1"/>
    <x v="310"/>
    <s v="Fredericksburg, VA . Richmond, VA . San Francisco, CA . Seattle, WA"/>
    <x v="19"/>
    <s v="Chevy Chase, MD, US"/>
    <x v="2"/>
    <x v="1"/>
    <n v="25090"/>
    <s v="['powerbi', 'r', 'python', 'java', 'sql', 'machine learning', 'tableau']"/>
  </r>
  <r>
    <s v="Data Scientist"/>
    <x v="0"/>
    <x v="1"/>
    <x v="311"/>
    <s v="Los Angeles, CA"/>
    <x v="22"/>
    <s v="Los Angeles, CA, US"/>
    <x v="5"/>
    <x v="1"/>
    <n v="5674"/>
    <s v="['pandas', 'git', 'r', 'python', 'keras', 'machine learning']"/>
  </r>
  <r>
    <s v="Data Scientist"/>
    <x v="0"/>
    <x v="1"/>
    <x v="312"/>
    <s v="Charlotte, NC . Charlotte, North Carolina, United States"/>
    <x v="2"/>
    <s v="Stamford, CT, US"/>
    <x v="2"/>
    <x v="0"/>
    <n v="96050"/>
    <s v="['machine learning', 'r', 'python']"/>
  </r>
  <r>
    <s v="Data Scientist"/>
    <x v="0"/>
    <x v="0"/>
    <x v="313"/>
    <s v="Munich, Germany . Hybrid"/>
    <x v="25"/>
    <s v="OH, US"/>
    <x v="1"/>
    <x v="1"/>
    <n v="300"/>
    <s v="['amazon', 'aws']"/>
  </r>
  <r>
    <s v="Data Scientist"/>
    <x v="0"/>
    <x v="0"/>
    <x v="314"/>
    <s v="United States . Hybrid"/>
    <x v="10"/>
    <s v="Birmingham, AL, US"/>
    <x v="2"/>
    <x v="1"/>
    <n v="5780"/>
    <s v="['pytorch', 'spark', 'scikit-learn', 'python', 'sql', 'machine learning', 'tensorflow']"/>
  </r>
  <r>
    <s v="Data Scientist"/>
    <x v="0"/>
    <x v="0"/>
    <x v="315"/>
    <s v="Seattle, WA . Hybrid"/>
    <x v="33"/>
    <s v="Seattle, WA, US"/>
    <x v="0"/>
    <x v="0"/>
    <n v="74020"/>
    <s v="['aws', 'python', 'scala', 'java', 'gcp', 'machine learning']"/>
  </r>
  <r>
    <s v="Data Scientist"/>
    <x v="0"/>
    <x v="1"/>
    <x v="316"/>
    <s v="Pittsburgh, PA"/>
    <x v="16"/>
    <s v="Pittsburgh, PA, US"/>
    <x v="4"/>
    <x v="1"/>
    <n v="12609"/>
    <s v="['machine learning']"/>
  </r>
  <r>
    <s v="Data Scientist"/>
    <x v="0"/>
    <x v="1"/>
    <x v="317"/>
    <s v="Calgary, Alberta, Canada . Canada, Moyen-Chari, Chad . Greater Calgary Metropolitan Area"/>
    <x v="16"/>
    <s v="Herndon, VA, US"/>
    <x v="2"/>
    <x v="1"/>
    <n v="3550"/>
    <s v="['scikit-learn', 'python']"/>
  </r>
  <r>
    <s v="Data Scientist"/>
    <x v="0"/>
    <x v="1"/>
    <x v="318"/>
    <s v="Augusta, GA"/>
    <x v="2"/>
    <s v="Columbia, MD, US"/>
    <x v="2"/>
    <x v="1"/>
    <n v="150"/>
    <s v="['machine learning', 'python']"/>
  </r>
  <r>
    <s v="Data Scientist"/>
    <x v="0"/>
    <x v="1"/>
    <x v="319"/>
    <s v="Toronto, Ontario, Canada"/>
    <x v="2"/>
    <s v="Toronto, ON, CA"/>
    <x v="0"/>
    <x v="0"/>
    <n v="20600"/>
    <s v="['git', 'python', 'airflow', 'sql', 'machine learning', 'hadoop', 'azure']"/>
  </r>
  <r>
    <s v="Data Scientist"/>
    <x v="0"/>
    <x v="1"/>
    <x v="320"/>
    <s v="New York, United States"/>
    <x v="12"/>
    <s v="New York, NY, US"/>
    <x v="2"/>
    <x v="0"/>
    <n v="10040"/>
    <s v="['spark', 'aws', 'git', 'python', 'docker', 'airflow', 'sql', 'machine learning', 'tableau']"/>
  </r>
  <r>
    <s v="Data Scientist"/>
    <x v="0"/>
    <x v="1"/>
    <x v="321"/>
    <s v="Houston, TX . Houston, Texas, Statele Unite Ale Americii . Houston, Texas, USA"/>
    <x v="2"/>
    <s v="Bedford, MA, US"/>
    <x v="2"/>
    <x v="0"/>
    <n v="2550"/>
    <s v="['deep learning', 'machine learning', 'python']"/>
  </r>
  <r>
    <s v="Data Scientist"/>
    <x v="0"/>
    <x v="0"/>
    <x v="322"/>
    <s v="Chicago, IL . Hybrid"/>
    <x v="12"/>
    <s v="Chicago, IL, US"/>
    <x v="5"/>
    <x v="1"/>
    <n v="1570"/>
    <s v="['r', 'python', 'java', 'sql', 'machine learning', 'database', 'deep learning', 'tableau']"/>
  </r>
  <r>
    <s v="Data Scientist"/>
    <x v="0"/>
    <x v="1"/>
    <x v="107"/>
    <s v="Henrietta, NY"/>
    <x v="5"/>
    <s v="Rochester, NY, US"/>
    <x v="4"/>
    <x v="1"/>
    <n v="9260"/>
    <s v="['machine learning']"/>
  </r>
  <r>
    <s v="Data Scientist"/>
    <x v="3"/>
    <x v="1"/>
    <x v="318"/>
    <s v="Denver, CO"/>
    <x v="2"/>
    <s v="Columbia, MD, US"/>
    <x v="2"/>
    <x v="1"/>
    <n v="150"/>
    <s v="['machine learning', 'python']"/>
  </r>
  <r>
    <s v="Data Scientist"/>
    <x v="0"/>
    <x v="0"/>
    <x v="273"/>
    <s v="Hybrid"/>
    <x v="11"/>
    <s v="Redwood City, CA, US"/>
    <x v="2"/>
    <x v="1"/>
    <n v="600"/>
    <s v="['amazon', 'aws']"/>
  </r>
  <r>
    <s v="Data Scientist"/>
    <x v="3"/>
    <x v="1"/>
    <x v="323"/>
    <s v="On-site"/>
    <x v="10"/>
    <s v="Ventura, CA, US"/>
    <x v="2"/>
    <x v="0"/>
    <n v="2270"/>
    <s v="['amazon', 'aws']"/>
  </r>
  <r>
    <s v="Data Scientist"/>
    <x v="1"/>
    <x v="0"/>
    <x v="324"/>
    <s v="Chicago, IL . Hybrid"/>
    <x v="6"/>
    <s v="Austin, TX, US"/>
    <x v="7"/>
    <x v="1"/>
    <n v="1260"/>
    <s v="['amazon', 'aws']"/>
  </r>
  <r>
    <s v="Data Scientist"/>
    <x v="0"/>
    <x v="1"/>
    <x v="325"/>
    <s v="San Francisco, CA"/>
    <x v="19"/>
    <s v="San Francisco, CA, US"/>
    <x v="0"/>
    <x v="0"/>
    <n v="117030"/>
    <s v="['aws', 'python', 'machine learning', 'azure', 'deep learning', 'tableau']"/>
  </r>
  <r>
    <s v="Data Scientist"/>
    <x v="0"/>
    <x v="0"/>
    <x v="326"/>
    <s v="United States . Hybrid"/>
    <x v="12"/>
    <s v="New York, NY, US"/>
    <x v="4"/>
    <x v="1"/>
    <n v="3510"/>
    <s v="['pandas', 'aws', 'r', 'python', 'scikit-learn', 'sql', 'machine learning', 'gcp', 'azure']"/>
  </r>
  <r>
    <s v="Data Scientist"/>
    <x v="2"/>
    <x v="1"/>
    <x v="327"/>
    <s v="San Diego, CA"/>
    <x v="7"/>
    <s v="San Diego, CA, US"/>
    <x v="3"/>
    <x v="1"/>
    <n v="600"/>
    <s v="['pandas', 'numpy', 'pytorch', 'aws', 'r', 'python', 'scikit-learn', 'sql', 'machine learning', 'gcp', 'deep learning', 'azure', 'tensorflow', 'tableau']"/>
  </r>
  <r>
    <s v="Data Scientist"/>
    <x v="0"/>
    <x v="0"/>
    <x v="290"/>
    <s v="Los Angeles, CA . Hybrid"/>
    <x v="2"/>
    <s v="Los Angeles, CA, US"/>
    <x v="2"/>
    <x v="1"/>
    <n v="150"/>
    <s v="['amazon', 'aws']"/>
  </r>
  <r>
    <s v="Data Scientist"/>
    <x v="0"/>
    <x v="1"/>
    <x v="299"/>
    <s v="Chicago, IL"/>
    <x v="10"/>
    <s v="San Francisco, CA, US"/>
    <x v="3"/>
    <x v="1"/>
    <n v="700"/>
    <s v="['amazon', 'spark', 'git', 'r', 'python', 'linux', 'java', 'sql', 'machine learning', 'database', 'azure']"/>
  </r>
  <r>
    <s v="Data Scientist"/>
    <x v="0"/>
    <x v="2"/>
    <x v="328"/>
    <s v="Remote - US . San Diego, California, United States . Fully Remote"/>
    <x v="10"/>
    <s v="San Diego, CA, US"/>
    <x v="2"/>
    <x v="1"/>
    <n v="210"/>
    <s v="['amazon', 'aws']"/>
  </r>
  <r>
    <s v="Data Scientist"/>
    <x v="0"/>
    <x v="2"/>
    <x v="329"/>
    <s v="Torrance, CA"/>
    <x v="12"/>
    <s v="Renton, WA, US"/>
    <x v="5"/>
    <x v="1"/>
    <n v="120010"/>
    <s v="['r', 'python', 'scala', 'sql', 'machine learning', 'database', 'azure', 'tableau']"/>
  </r>
  <r>
    <s v="Data Scientist"/>
    <x v="1"/>
    <x v="1"/>
    <x v="24"/>
    <s v="Visakhapatnam Rural mandal, India"/>
    <x v="12"/>
    <s v="Bengaluru, KA, IN"/>
    <x v="2"/>
    <x v="0"/>
    <n v="222040"/>
    <s v="['deep learning', 'machine learning']"/>
  </r>
  <r>
    <s v="Data Scientist"/>
    <x v="0"/>
    <x v="0"/>
    <x v="330"/>
    <s v="Canada . Vancouver, BC, Canada . Hybrid"/>
    <x v="2"/>
    <s v="Vancouver, BC, CA"/>
    <x v="2"/>
    <x v="1"/>
    <n v="98"/>
    <s v="['amazon', 'aws']"/>
  </r>
  <r>
    <s v="Machine Learning Engineer"/>
    <x v="0"/>
    <x v="1"/>
    <x v="34"/>
    <s v="Toronto, Ontario, Canada"/>
    <x v="2"/>
    <s v="Cherry Hill, NJ, US"/>
    <x v="2"/>
    <x v="1"/>
    <n v="26030"/>
    <s v="['pytorch', 'spark', 'aws', 'database', 'sql', 'machine learning', 'deep learning', 'azure', 'tensorflow']"/>
  </r>
  <r>
    <s v="Machine Learning Engineer"/>
    <x v="0"/>
    <x v="0"/>
    <x v="331"/>
    <s v="Dublin, Ireland . Hybrid"/>
    <x v="7"/>
    <s v="San Francisco, CA, US"/>
    <x v="2"/>
    <x v="1"/>
    <n v="630"/>
    <s v="['amazon', 'aws']"/>
  </r>
  <r>
    <s v="Data Scientist"/>
    <x v="0"/>
    <x v="1"/>
    <x v="148"/>
    <s v="Bengaluru, Karnataka, India"/>
    <x v="10"/>
    <s v="Eden Prairie, MN, US"/>
    <x v="5"/>
    <x v="0"/>
    <n v="37960"/>
    <s v="['spark', 'aws', 'python', 'sql', 'machine learning', 'deep learning', 'azure']"/>
  </r>
  <r>
    <s v="Data Scientist"/>
    <x v="0"/>
    <x v="0"/>
    <x v="273"/>
    <s v="Redwood City, CA (Hybrid) . Hybrid"/>
    <x v="7"/>
    <s v="Redwood City, CA, US"/>
    <x v="2"/>
    <x v="1"/>
    <n v="600"/>
    <s v="['amazon', 'aws']"/>
  </r>
  <r>
    <s v="Data Scientist"/>
    <x v="0"/>
    <x v="1"/>
    <x v="332"/>
    <s v="Waltham, MA"/>
    <x v="12"/>
    <s v="London, GB"/>
    <x v="6"/>
    <x v="0"/>
    <n v="12270"/>
    <s v="['git', 'r', 'python', 'sql', 'azure']"/>
  </r>
  <r>
    <s v="Machine Learning Engineer"/>
    <x v="0"/>
    <x v="0"/>
    <x v="284"/>
    <s v="Pittsburgh, PA . Hybrid"/>
    <x v="12"/>
    <s v="Maplewood, MN, US"/>
    <x v="5"/>
    <x v="0"/>
    <n v="22060"/>
    <s v="['pytorch', 'aws', 'python', 'machine learning', 'deep learning']"/>
  </r>
  <r>
    <s v="Data Scientist"/>
    <x v="1"/>
    <x v="1"/>
    <x v="90"/>
    <s v="New York, NY"/>
    <x v="22"/>
    <s v="New York, NY, US"/>
    <x v="0"/>
    <x v="0"/>
    <n v="130040"/>
    <s v="['sql', 'machine learning', 'r', 'python']"/>
  </r>
  <r>
    <s v="Data Scientist"/>
    <x v="0"/>
    <x v="1"/>
    <x v="7"/>
    <s v="Los Angeles County, CA"/>
    <x v="12"/>
    <s v="Menlo Park, CA, US"/>
    <x v="2"/>
    <x v="0"/>
    <n v="900"/>
    <s v="['pandas', 'numpy', 'pytorch', 'aws', 'scikit-learn', 'python', 'scipy', 'sql', 'machine learning', 'gcp', 'azure', 'tensorflow']"/>
  </r>
  <r>
    <s v="Data Scientist"/>
    <x v="0"/>
    <x v="1"/>
    <x v="65"/>
    <s v="Arlington, VA . Bellevue, WA"/>
    <x v="8"/>
    <s v="Seattle, WA, US"/>
    <x v="0"/>
    <x v="0"/>
    <n v="865436"/>
    <s v="['amazon', 'aws', 'r', 'python', 'sql', 'machine learning', 'tableau']"/>
  </r>
  <r>
    <s v="Data Scientist"/>
    <x v="0"/>
    <x v="1"/>
    <x v="308"/>
    <s v="Princeton, NJ . New York, NY"/>
    <x v="9"/>
    <s v="New York, NY, US"/>
    <x v="2"/>
    <x v="0"/>
    <n v="26630"/>
    <s v="['pytorch', 'python', 'machine learning', 'keras', 'deep learning', 'tensorflow']"/>
  </r>
  <r>
    <s v="Data Scientist"/>
    <x v="3"/>
    <x v="1"/>
    <x v="126"/>
    <s v="Chennai, Tamil Nadu, India . Hyderabad, Telangana, India"/>
    <x v="2"/>
    <s v="Charlotte, NC, US"/>
    <x v="3"/>
    <x v="0"/>
    <n v="274280"/>
    <s v="['hadoop', 'git', 'gcp', 'python']"/>
  </r>
  <r>
    <s v="Data Scientist"/>
    <x v="0"/>
    <x v="2"/>
    <x v="329"/>
    <s v="Washington, United States"/>
    <x v="12"/>
    <s v="Renton, WA, US"/>
    <x v="5"/>
    <x v="1"/>
    <n v="120040"/>
    <s v="['r', 'python', 'scala', 'sql', 'machine learning', 'database', 'azure', 'tableau']"/>
  </r>
  <r>
    <s v="Data Scientist"/>
    <x v="0"/>
    <x v="2"/>
    <x v="68"/>
    <s v="Fort Worth, TX"/>
    <x v="10"/>
    <s v="Bethesda, MD, US"/>
    <x v="2"/>
    <x v="0"/>
    <n v="108650"/>
    <s v="['machine learning']"/>
  </r>
  <r>
    <s v="Data Scientist"/>
    <x v="0"/>
    <x v="1"/>
    <x v="118"/>
    <s v="New York, NY . Chicago, IL"/>
    <x v="19"/>
    <s v="Paris, FR"/>
    <x v="5"/>
    <x v="1"/>
    <n v="76010"/>
    <s v="['amazon', 'aws']"/>
  </r>
  <r>
    <s v="Data Scientist"/>
    <x v="0"/>
    <x v="0"/>
    <x v="333"/>
    <s v="East Coast, United States . New York, United States . Hybrid"/>
    <x v="2"/>
    <s v="Altrincham, GB"/>
    <x v="5"/>
    <x v="1"/>
    <n v="240"/>
    <s v="['amazon', 'aws']"/>
  </r>
  <r>
    <s v="Data Scientist"/>
    <x v="0"/>
    <x v="1"/>
    <x v="334"/>
    <s v="Mountain View, CA"/>
    <x v="23"/>
    <s v="Mountain View, CA, US"/>
    <x v="2"/>
    <x v="0"/>
    <n v="17040"/>
    <s v="['r', 'python', 'sql', 'machine learning', 'tableau']"/>
  </r>
  <r>
    <s v="Data Scientist"/>
    <x v="3"/>
    <x v="2"/>
    <x v="335"/>
    <s v="Fully Remote"/>
    <x v="22"/>
    <s v="San Francisco, CA, US"/>
    <x v="3"/>
    <x v="1"/>
    <n v="457"/>
    <s v="['amazon', 'aws']"/>
  </r>
  <r>
    <s v="Data Scientist"/>
    <x v="1"/>
    <x v="0"/>
    <x v="336"/>
    <s v="Greater Birmingham, Alabama Area . Hybrid"/>
    <x v="10"/>
    <s v="Boulder, CO, US"/>
    <x v="6"/>
    <x v="1"/>
    <n v="240"/>
    <s v="['amazon', 'aws']"/>
  </r>
  <r>
    <s v="Data Scientist"/>
    <x v="0"/>
    <x v="0"/>
    <x v="217"/>
    <s v="Markham, Ontario, Canada . Toronto, Ontario, Canada . Hybrid"/>
    <x v="2"/>
    <s v="London, GB"/>
    <x v="3"/>
    <x v="0"/>
    <n v="29490"/>
    <s v="['machine learning', 'python']"/>
  </r>
  <r>
    <s v="Data Scientist"/>
    <x v="3"/>
    <x v="1"/>
    <x v="111"/>
    <s v="Springfield, VA"/>
    <x v="2"/>
    <s v="Reston, VA, US"/>
    <x v="2"/>
    <x v="0"/>
    <n v="27420"/>
    <s v="['git', 'r', 'python', 'docker', 'linux', 'java', 'sql', 'database', 'deep learning']"/>
  </r>
  <r>
    <s v="Data Scientist"/>
    <x v="0"/>
    <x v="2"/>
    <x v="241"/>
    <s v="Fully Remote"/>
    <x v="9"/>
    <s v="San Francisco, CA, US"/>
    <x v="2"/>
    <x v="1"/>
    <n v="45"/>
    <s v="['amazon', 'aws']"/>
  </r>
  <r>
    <s v="Data Scientist"/>
    <x v="0"/>
    <x v="1"/>
    <x v="163"/>
    <s v="Bellevue, WA . San Francisco, CA . Seattle, WA . Palo Alto, CA"/>
    <x v="10"/>
    <s v="San Francisco, CA, US"/>
    <x v="2"/>
    <x v="0"/>
    <n v="65810"/>
    <s v="['sql', 'r', 'python']"/>
  </r>
  <r>
    <s v="Data Scientist"/>
    <x v="0"/>
    <x v="0"/>
    <x v="337"/>
    <s v="Cambridge, MA . Hybrid"/>
    <x v="28"/>
    <s v="Basel, BS, CH"/>
    <x v="5"/>
    <x v="0"/>
    <n v="107710"/>
    <s v="['python']"/>
  </r>
  <r>
    <s v="Data Scientist"/>
    <x v="3"/>
    <x v="1"/>
    <x v="110"/>
    <s v="South San Francisco, CA . On-site"/>
    <x v="13"/>
    <s v="Kenilworth, NJ, US"/>
    <x v="5"/>
    <x v="0"/>
    <n v="78700"/>
    <s v="['machine learning', 'r', 'python']"/>
  </r>
  <r>
    <s v="Data Scientist"/>
    <x v="0"/>
    <x v="0"/>
    <x v="88"/>
    <s v="Navi Mumbai, Maharashtra, India . Hybrid"/>
    <x v="12"/>
    <s v="Chicago, IL, US"/>
    <x v="3"/>
    <x v="0"/>
    <n v="9900"/>
    <s v="['python', 'neural network', 'sql', 'machine learning', 'deep learning']"/>
  </r>
  <r>
    <s v="Data Scientist"/>
    <x v="3"/>
    <x v="1"/>
    <x v="133"/>
    <s v="Washington, DC . On-site"/>
    <x v="22"/>
    <s v="Reston, VA, US"/>
    <x v="2"/>
    <x v="0"/>
    <n v="26060"/>
    <s v="['python']"/>
  </r>
  <r>
    <s v="Data Scientist"/>
    <x v="3"/>
    <x v="0"/>
    <x v="316"/>
    <s v="Pittsburgh, PA . Hybrid"/>
    <x v="2"/>
    <s v="Pittsburgh, PA, US"/>
    <x v="4"/>
    <x v="1"/>
    <n v="12659"/>
    <s v="['database', 'sql', 'r', 'python']"/>
  </r>
  <r>
    <s v="Data Scientist"/>
    <x v="0"/>
    <x v="1"/>
    <x v="323"/>
    <s v="On-site"/>
    <x v="20"/>
    <s v="Ventura, CA, US"/>
    <x v="2"/>
    <x v="0"/>
    <n v="2300"/>
    <s v="['amazon', 'aws']"/>
  </r>
  <r>
    <s v="Data Scientist"/>
    <x v="3"/>
    <x v="0"/>
    <x v="338"/>
    <s v="Bangalore, Karnataka, India . Hybrid"/>
    <x v="34"/>
    <s v="Edison, NJ, US"/>
    <x v="2"/>
    <x v="1"/>
    <n v="3570"/>
    <s v="['amazon', 'aws']"/>
  </r>
  <r>
    <s v="Data Scientist"/>
    <x v="0"/>
    <x v="1"/>
    <x v="78"/>
    <s v="Veldhoven, North Brabant, Netherlands"/>
    <x v="10"/>
    <s v="Veldhoven, NB, NL"/>
    <x v="2"/>
    <x v="0"/>
    <n v="24800"/>
    <s v="['amazon', 'aws']"/>
  </r>
  <r>
    <s v="Data Scientist"/>
    <x v="0"/>
    <x v="1"/>
    <x v="339"/>
    <s v="San Antonio, TX"/>
    <x v="10"/>
    <s v="San Antonio, TX, US"/>
    <x v="0"/>
    <x v="1"/>
    <n v="23910"/>
    <s v="['spark', 'r', 'python', 'docker', 'scala', 'java', 'sql', 'machine learning', 'kubernetes', 'deep learning', 'tensorflow']"/>
  </r>
  <r>
    <s v="Data Scientist"/>
    <x v="1"/>
    <x v="1"/>
    <x v="340"/>
    <s v="Bangkok, Bangkok, Thailand . On-site"/>
    <x v="2"/>
    <s v="Singapore, SG"/>
    <x v="2"/>
    <x v="1"/>
    <n v="4570"/>
    <s v="['amazon', 'aws']"/>
  </r>
  <r>
    <s v="Data Scientist"/>
    <x v="0"/>
    <x v="1"/>
    <x v="143"/>
    <s v="Hyderabad, Telangana, India"/>
    <x v="19"/>
    <s v="Redmond, WA, US"/>
    <x v="2"/>
    <x v="0"/>
    <n v="182288"/>
    <s v="['pytorch', 'spark', 'r', 'python', 'scikit-learn', 'scala', 'machine learning', 'deep learning', 'hadoop', 'azure', 'tensorflow']"/>
  </r>
  <r>
    <s v="Data Scientist"/>
    <x v="0"/>
    <x v="2"/>
    <x v="15"/>
    <s v="Remote, United States . Fully Remote"/>
    <x v="10"/>
    <s v="San Francisco, CA, US"/>
    <x v="3"/>
    <x v="1"/>
    <n v="300"/>
    <s v="['amazon', 'aws']"/>
  </r>
  <r>
    <s v="Data Scientist"/>
    <x v="1"/>
    <x v="0"/>
    <x v="338"/>
    <s v="Bangalore, Karnataka, India . Hybrid"/>
    <x v="2"/>
    <s v="Edison, NJ, US"/>
    <x v="2"/>
    <x v="1"/>
    <n v="3560"/>
    <s v="['amazon', 'aws']"/>
  </r>
  <r>
    <s v="Data Scientist"/>
    <x v="0"/>
    <x v="1"/>
    <x v="285"/>
    <s v="San Francisco, CA"/>
    <x v="16"/>
    <s v="San Francisco, CA, US"/>
    <x v="3"/>
    <x v="1"/>
    <n v="90"/>
    <s v="['amazon', 'machine learning']"/>
  </r>
  <r>
    <s v="Data Scientist"/>
    <x v="1"/>
    <x v="2"/>
    <x v="341"/>
    <s v="Cardiff, London or Remote (UK) . Fully Remote"/>
    <x v="5"/>
    <s v="London, GB"/>
    <x v="2"/>
    <x v="1"/>
    <n v="1530"/>
    <s v="['amazon', 'aws']"/>
  </r>
  <r>
    <s v="Data Scientist"/>
    <x v="0"/>
    <x v="1"/>
    <x v="60"/>
    <s v="Louisville, KY"/>
    <x v="10"/>
    <s v="Dearborn, MI, US"/>
    <x v="2"/>
    <x v="0"/>
    <n v="187570"/>
    <s v="['pandas', 'numpy', 'pytorch', 'git', 'r', 'python', 'scikit-learn', 'sql', 'gcp', 'machine learning', 'tensorflow', 'tableau']"/>
  </r>
  <r>
    <s v="Data Scientist"/>
    <x v="0"/>
    <x v="1"/>
    <x v="342"/>
    <s v="Oklahoma City, OK"/>
    <x v="12"/>
    <s v="Oklahoma City, OK, US"/>
    <x v="2"/>
    <x v="0"/>
    <n v="4780"/>
    <s v="['machine learning']"/>
  </r>
  <r>
    <s v="Data Scientist"/>
    <x v="0"/>
    <x v="1"/>
    <x v="343"/>
    <s v="St Louis, MO"/>
    <x v="2"/>
    <s v="Brentwood, MO, US"/>
    <x v="0"/>
    <x v="0"/>
    <n v="11020"/>
    <s v="['pandas', 'amazon', 'powerbi', 'git', 'r', 'python', 'scipy', 'sql', 'machine learning', 'database', 'azure', 'matplotlib', 'tableau']"/>
  </r>
  <r>
    <s v="Data Scientist"/>
    <x v="0"/>
    <x v="1"/>
    <x v="289"/>
    <s v="San Francisco, CA . On-site"/>
    <x v="31"/>
    <s v="San Francisco, CA, US"/>
    <x v="2"/>
    <x v="1"/>
    <n v="90"/>
    <s v="['amazon', 'aws']"/>
  </r>
  <r>
    <s v="Data Scientist"/>
    <x v="0"/>
    <x v="0"/>
    <x v="344"/>
    <s v="Mountain View, CA, US . San Francisco, CA, US . Hybrid"/>
    <x v="6"/>
    <s v="Mountain View, CA, US"/>
    <x v="2"/>
    <x v="1"/>
    <n v="2810"/>
    <s v="['amazon', 'aws']"/>
  </r>
  <r>
    <s v="Data Scientist"/>
    <x v="0"/>
    <x v="0"/>
    <x v="345"/>
    <s v="Madrid, Community of Madrid, Spain . Hybrid"/>
    <x v="23"/>
    <s v="Paris, IDF, FR"/>
    <x v="2"/>
    <x v="1"/>
    <n v="263610"/>
    <s v="['pandas', 'numpy', 'aws', 'r', 'python', 'scikit-learn', 'machine learning', 'gcp', 'deep learning', 'azure', 'matplotlib']"/>
  </r>
  <r>
    <s v="Data Scientist"/>
    <x v="0"/>
    <x v="0"/>
    <x v="346"/>
    <s v="Chicago, Illinois, United States . New York, New York, United States . Hybrid"/>
    <x v="11"/>
    <s v="Chicago, IL, US"/>
    <x v="2"/>
    <x v="1"/>
    <n v="420"/>
    <s v="['amazon', 'aws']"/>
  </r>
  <r>
    <s v="Data Scientist"/>
    <x v="1"/>
    <x v="1"/>
    <x v="112"/>
    <s v="San Antonio, TX"/>
    <x v="12"/>
    <s v="San Antonio, TX, US"/>
    <x v="3"/>
    <x v="1"/>
    <n v="33010"/>
    <s v="['r', 'python', 'sql', 'database', 'machine learning']"/>
  </r>
  <r>
    <s v="Data Scientist"/>
    <x v="1"/>
    <x v="1"/>
    <x v="347"/>
    <s v="San Francisco, CA"/>
    <x v="12"/>
    <s v="San Francisco, CA, US"/>
    <x v="2"/>
    <x v="1"/>
    <n v="45"/>
    <s v="['pytorch', 'aws', 'machine learning', 'azure', 'deep learning', 'tensorflow']"/>
  </r>
  <r>
    <s v="Data Scientist"/>
    <x v="0"/>
    <x v="1"/>
    <x v="91"/>
    <s v="Linthicum Heights, MD . On-site"/>
    <x v="12"/>
    <s v="Falls Church, VA, US"/>
    <x v="2"/>
    <x v="0"/>
    <n v="97070"/>
    <s v="['pandas', 'numpy', 'python', 'sql', 'database', 'matplotlib', 'tableau']"/>
  </r>
  <r>
    <s v="Data Scientist"/>
    <x v="2"/>
    <x v="1"/>
    <x v="348"/>
    <s v="Atlanta, GA"/>
    <x v="21"/>
    <s v="Atlanta, GA, US"/>
    <x v="3"/>
    <x v="0"/>
    <n v="53700"/>
    <s v="['sql', 'machine learning', 'r', 'python']"/>
  </r>
  <r>
    <s v="Data Scientist"/>
    <x v="0"/>
    <x v="1"/>
    <x v="349"/>
    <s v="Santa Clara, CA . On-site"/>
    <x v="1"/>
    <s v="Santa Clara, CA, US"/>
    <x v="2"/>
    <x v="1"/>
    <n v="75"/>
    <s v="['amazon', 'aws']"/>
  </r>
  <r>
    <s v="Data Scientist"/>
    <x v="3"/>
    <x v="1"/>
    <x v="312"/>
    <s v="Stamford, CT"/>
    <x v="23"/>
    <s v="Stamford, CT, US"/>
    <x v="2"/>
    <x v="0"/>
    <n v="96040"/>
    <s v="['spark', 'r', 'python', 'sql', 'machine learning']"/>
  </r>
  <r>
    <s v="Data Scientist"/>
    <x v="0"/>
    <x v="1"/>
    <x v="189"/>
    <s v="Englewood, CO . On-site"/>
    <x v="10"/>
    <s v="Englewood, CO, US"/>
    <x v="2"/>
    <x v="0"/>
    <n v="2520"/>
    <s v="['amazon', 'r', 'python', 'sql', 'database', 'machine learning', 'tableau']"/>
  </r>
  <r>
    <s v="Data Scientist"/>
    <x v="3"/>
    <x v="1"/>
    <x v="350"/>
    <s v="Princeton, NJ"/>
    <x v="1"/>
    <s v="Princeton, NJ, US"/>
    <x v="5"/>
    <x v="0"/>
    <n v="3570"/>
    <s v="['sql', 'r', 'python']"/>
  </r>
  <r>
    <s v="Data Scientist"/>
    <x v="3"/>
    <x v="1"/>
    <x v="351"/>
    <s v="San Francisco, CA . San Jose, CA . Seattle, WA"/>
    <x v="20"/>
    <s v="San Jose, CA, US"/>
    <x v="2"/>
    <x v="0"/>
    <n v="21310"/>
    <s v="['spark', 'python', 'sql', 'hadoop', 'machine learning']"/>
  </r>
  <r>
    <s v="Data Scientist"/>
    <x v="0"/>
    <x v="1"/>
    <x v="352"/>
    <s v="Madrid, Community of Madrid, Spain"/>
    <x v="29"/>
    <s v="Birmingham, AL, US"/>
    <x v="3"/>
    <x v="0"/>
    <n v="123020"/>
    <s v="['pandas', 'numpy', 'pytorch', 'aws', 'scikit-learn', 'python', 'docker', 'sql', 'machine learning', 'kubernetes', 'azure', 'tensorflow']"/>
  </r>
  <r>
    <s v="Data Scientist"/>
    <x v="0"/>
    <x v="1"/>
    <x v="353"/>
    <s v="United States"/>
    <x v="2"/>
    <s v="San Diego, CA, US"/>
    <x v="0"/>
    <x v="0"/>
    <n v="27030"/>
    <s v="['aws', 'scikit-learn', 'python', 'sql', 'machine learning', 'gcp', 'azure']"/>
  </r>
  <r>
    <s v="Data Scientist"/>
    <x v="3"/>
    <x v="0"/>
    <x v="180"/>
    <s v="Boston, MA . Hybrid"/>
    <x v="3"/>
    <s v="Boston, MA, US"/>
    <x v="0"/>
    <x v="0"/>
    <n v="17040"/>
    <s v="['amazon', 'aws']"/>
  </r>
  <r>
    <s v="Data Scientist"/>
    <x v="0"/>
    <x v="1"/>
    <x v="252"/>
    <s v="Queenstown, Central Singapore Community Development Council, Singapore"/>
    <x v="2"/>
    <s v="Singapore, SG"/>
    <x v="4"/>
    <x v="1"/>
    <n v="210"/>
    <s v="['neural network', 'machine learning', 'r', 'python']"/>
  </r>
  <r>
    <s v="Machine Learning Engineer"/>
    <x v="0"/>
    <x v="1"/>
    <x v="354"/>
    <s v="Newport Beach, CA . ÐÑŒÑŽÐ¿Ð¾Ñ€Ñ‚-Ð‘Ð¸Ñ‡, ÐšÐ°Ð»Ð¸Ñ„Ð¾Ñ€Ð½Ð¸Ñ, Ð¡Ð¾ÐµÐ´Ð¸Ð½ÐµÐ½Ð½Ñ‹Ðµ Ð¨Ñ‚Ð°Ñ‚Ñ‹ ÐÐ¼ÐµÑ€Ð¸ÐºÐ¸"/>
    <x v="33"/>
    <s v="Walldorf, BW, DE"/>
    <x v="2"/>
    <x v="0"/>
    <n v="117800"/>
    <s v="['pytorch', 'machine learning', 'database', 'deep learning', 'tensorflow']"/>
  </r>
  <r>
    <s v="Data Scientist"/>
    <x v="1"/>
    <x v="2"/>
    <x v="113"/>
    <s v="Canada . Fully Remote"/>
    <x v="20"/>
    <s v="Miami, FL, US"/>
    <x v="2"/>
    <x v="1"/>
    <n v="30"/>
    <s v="['sql', 'machine learning']"/>
  </r>
  <r>
    <s v="Data Scientist"/>
    <x v="0"/>
    <x v="0"/>
    <x v="355"/>
    <s v="San Diego, CA . Hybrid"/>
    <x v="5"/>
    <s v="Minato City, JP"/>
    <x v="2"/>
    <x v="0"/>
    <n v="110020"/>
    <s v="['pandas', 'numpy', 'scikit-learn', 'python', 'sql', 'machine learning', 'deep learning']"/>
  </r>
  <r>
    <s v="Data Scientist"/>
    <x v="3"/>
    <x v="0"/>
    <x v="32"/>
    <s v="Manchester, England, United Kingdom . Hybrid"/>
    <x v="12"/>
    <s v="Manchester, GB"/>
    <x v="2"/>
    <x v="0"/>
    <n v="1310"/>
    <s v="['airflow', 'spark', 'machine learning', 'python']"/>
  </r>
  <r>
    <s v="Data Scientist"/>
    <x v="0"/>
    <x v="1"/>
    <x v="169"/>
    <s v="Columbia, MD"/>
    <x v="19"/>
    <s v="Columbia, MD, US"/>
    <x v="2"/>
    <x v="1"/>
    <n v="180"/>
    <s v="['spark', 'aws', 'python', 'sql', 'machine learning', 'gcp', 'azure']"/>
  </r>
  <r>
    <s v="Data Scientist"/>
    <x v="0"/>
    <x v="1"/>
    <x v="135"/>
    <s v="Bengaluru East, Karnataka, India"/>
    <x v="19"/>
    <s v="Bengaluru, KA, IN"/>
    <x v="2"/>
    <x v="0"/>
    <n v="261040"/>
    <s v="['aws', 'r', 'python', 'sql', 'neural network', 'gcp', 'azure']"/>
  </r>
  <r>
    <s v="Data Scientist"/>
    <x v="0"/>
    <x v="0"/>
    <x v="144"/>
    <s v="New York, United States . Hybrid"/>
    <x v="22"/>
    <s v="New York, NY, US"/>
    <x v="2"/>
    <x v="1"/>
    <n v="3510"/>
    <s v="['pandas', 'pytorch', 'aws', 'r', 'python', 'sql', 'machine learning', 'deep learning']"/>
  </r>
  <r>
    <s v="Data Scientist"/>
    <x v="0"/>
    <x v="0"/>
    <x v="356"/>
    <s v="Bethesda, MD . Hybrid"/>
    <x v="10"/>
    <s v="Reston, VA, US"/>
    <x v="2"/>
    <x v="1"/>
    <n v="1060"/>
    <s v="['sql', 'r', 'python']"/>
  </r>
  <r>
    <s v="Machine Learning Engineer"/>
    <x v="0"/>
    <x v="1"/>
    <x v="357"/>
    <s v="Brooklyn, NY"/>
    <x v="5"/>
    <s v="NY, US"/>
    <x v="6"/>
    <x v="0"/>
    <n v="6160"/>
    <s v="['spark', 'python', 'scala', 'java', 'airflow', 'gcp', 'machine learning', 'tensorflow']"/>
  </r>
  <r>
    <s v="Machine Learning Engineer"/>
    <x v="3"/>
    <x v="1"/>
    <x v="146"/>
    <s v="San Francisco, CA . Seattle, WA . New York, NY . On-site"/>
    <x v="7"/>
    <s v="Montreal, QC, CA"/>
    <x v="2"/>
    <x v="1"/>
    <n v="31"/>
    <s v="['amazon', 'aws']"/>
  </r>
  <r>
    <s v="Data Scientist"/>
    <x v="0"/>
    <x v="1"/>
    <x v="301"/>
    <s v="Hillsboro, OR . Portland, OR . Lake Oswego, OR"/>
    <x v="10"/>
    <s v="Roseburg, OR, US"/>
    <x v="3"/>
    <x v="0"/>
    <n v="3790"/>
    <s v="['aws', 'r', 'python', 'sql', 'machine learning', 'azure']"/>
  </r>
  <r>
    <s v="Data Scientist"/>
    <x v="0"/>
    <x v="1"/>
    <x v="358"/>
    <s v="Fort Worth, TX"/>
    <x v="12"/>
    <s v="Benbrook, TX, US"/>
    <x v="2"/>
    <x v="1"/>
    <n v="510"/>
    <s v="['machine learning']"/>
  </r>
  <r>
    <s v="Data Scientist"/>
    <x v="0"/>
    <x v="1"/>
    <x v="359"/>
    <s v="Annapolis Junction, MD"/>
    <x v="5"/>
    <s v="Centreville, VA, US"/>
    <x v="2"/>
    <x v="0"/>
    <n v="16070"/>
    <s v="['sql', 'machine learning', 'r', 'python']"/>
  </r>
  <r>
    <s v="Data Scientist"/>
    <x v="0"/>
    <x v="1"/>
    <x v="360"/>
    <s v="Dallas, TX"/>
    <x v="10"/>
    <s v="Dallas, TX, US"/>
    <x v="3"/>
    <x v="0"/>
    <n v="100050"/>
    <s v="['sql', 'machine learning', 'python']"/>
  </r>
  <r>
    <s v="Machine Learning Engineer"/>
    <x v="0"/>
    <x v="1"/>
    <x v="171"/>
    <s v="South San Francisco, CA"/>
    <x v="12"/>
    <s v="South San Francisco, CA, US"/>
    <x v="5"/>
    <x v="1"/>
    <n v="250"/>
    <s v="['pytorch', 'deep learning', 'machine learning', 'python']"/>
  </r>
  <r>
    <s v="Data Scientist"/>
    <x v="0"/>
    <x v="0"/>
    <x v="59"/>
    <s v="Bengaluru, Karnataka, India . Hybrid"/>
    <x v="12"/>
    <s v="Frankfurt am Main, HE, DE"/>
    <x v="3"/>
    <x v="0"/>
    <n v="68440"/>
    <s v="['pytorch', 'aws', 'python', 'sql', 'gcp', 'azure', 'tensorflow']"/>
  </r>
  <r>
    <s v="Data Scientist"/>
    <x v="0"/>
    <x v="1"/>
    <x v="149"/>
    <s v="Alpharetta, GA"/>
    <x v="10"/>
    <s v="Roseland, NJ, US"/>
    <x v="2"/>
    <x v="0"/>
    <n v="65130"/>
    <s v="['aws', 'powerbi', 'r', 'python', 'sql', 'machine learning', 'tableau']"/>
  </r>
  <r>
    <s v="Data Scientist"/>
    <x v="3"/>
    <x v="1"/>
    <x v="50"/>
    <s v="New York, New York, United States . On-site"/>
    <x v="2"/>
    <s v="San Francisco, CA, US"/>
    <x v="3"/>
    <x v="1"/>
    <n v="950"/>
    <s v="['amazon', 'aws']"/>
  </r>
  <r>
    <s v="Data Scientist"/>
    <x v="0"/>
    <x v="0"/>
    <x v="70"/>
    <s v="Toronto, ON . Hybrid"/>
    <x v="17"/>
    <s v="San Francisco, CA, US"/>
    <x v="3"/>
    <x v="1"/>
    <n v="780"/>
    <s v="['amazon', 'aws']"/>
  </r>
  <r>
    <s v="Data Scientist"/>
    <x v="3"/>
    <x v="0"/>
    <x v="43"/>
    <s v="Toronto, Canada . Hybrid"/>
    <x v="12"/>
    <s v="San Francisco, CA, US"/>
    <x v="2"/>
    <x v="0"/>
    <n v="5010"/>
    <s v="['amazon', 'aws']"/>
  </r>
  <r>
    <s v="Data Scientist"/>
    <x v="0"/>
    <x v="1"/>
    <x v="136"/>
    <s v="Bengaluru, Karnataka, India"/>
    <x v="18"/>
    <s v="Bengaluru, KA, IN"/>
    <x v="2"/>
    <x v="1"/>
    <n v="15470"/>
    <s v="['deep learning', 'machine learning', 'python']"/>
  </r>
  <r>
    <s v="Data Scientist"/>
    <x v="0"/>
    <x v="1"/>
    <x v="2"/>
    <s v="Vancouver, British Columbia, Canada . Marina del Rey, CA . Los Angeles Metropolitan Area . Kirkland, WA . Redwood City, CA"/>
    <x v="12"/>
    <s v="Redwood City, CA, US"/>
    <x v="2"/>
    <x v="0"/>
    <n v="25920"/>
    <s v="['git', 'python', 'docker', 'sql', 'machine learning', 'kubernetes', 'deep learning']"/>
  </r>
  <r>
    <s v="Machine Learning Engineer"/>
    <x v="0"/>
    <x v="1"/>
    <x v="66"/>
    <s v="Taipei, Taiwan . On-site"/>
    <x v="16"/>
    <s v="TW"/>
    <x v="2"/>
    <x v="1"/>
    <n v="530"/>
    <s v="['amazon', 'aws']"/>
  </r>
  <r>
    <s v="Data Scientist"/>
    <x v="1"/>
    <x v="0"/>
    <x v="361"/>
    <s v="United States . Hybrid"/>
    <x v="5"/>
    <s v="Buffalo, NY, US"/>
    <x v="3"/>
    <x v="0"/>
    <n v="16880"/>
    <s v="['python', 'neural network', 'sql', 'database', 'machine learning', 'tableau']"/>
  </r>
  <r>
    <s v="Data Scientist"/>
    <x v="0"/>
    <x v="1"/>
    <x v="178"/>
    <s v="United States"/>
    <x v="2"/>
    <s v="Jacksonville, FL, US"/>
    <x v="3"/>
    <x v="0"/>
    <n v="62070"/>
    <s v="['spark', 'aws', 'python', 'sql', 'machine learning', 'gcp', 'azure']"/>
  </r>
  <r>
    <s v="Data Scientist"/>
    <x v="0"/>
    <x v="1"/>
    <x v="24"/>
    <s v="Gurugram, Haryana, India"/>
    <x v="12"/>
    <s v="Bengaluru, KA, IN"/>
    <x v="2"/>
    <x v="0"/>
    <n v="222030"/>
    <s v="['aws', 'machine learning']"/>
  </r>
  <r>
    <s v="Data Scientist"/>
    <x v="1"/>
    <x v="1"/>
    <x v="362"/>
    <s v="New York, NY"/>
    <x v="2"/>
    <s v="Milwaukee, WI, US"/>
    <x v="3"/>
    <x v="1"/>
    <n v="32340"/>
    <s v="['spark', 'r', 'python', 'java', 'sql', 'machine learning']"/>
  </r>
  <r>
    <s v="Data Scientist"/>
    <x v="1"/>
    <x v="2"/>
    <x v="10"/>
    <s v="Atlanta, GA"/>
    <x v="4"/>
    <s v="Charlotte, NC, US"/>
    <x v="2"/>
    <x v="0"/>
    <n v="103070"/>
    <s v="['pytorch', 'spark', 'aws', 'python', 'machine learning', 'gcp', 'deep learning', 'keras', 'azure', 'tensorflow']"/>
  </r>
  <r>
    <s v="Data Scientist"/>
    <x v="0"/>
    <x v="1"/>
    <x v="363"/>
    <s v="Bengaluru East, Karnataka, India"/>
    <x v="12"/>
    <s v="Scottsdale, AZ, US"/>
    <x v="2"/>
    <x v="1"/>
    <n v="3980"/>
    <s v="['pandas', 'numpy', 'pytorch', 'spark', 'git', 'python', 'docker', 'database', 'deep learning', 'sql', 'machine learning', 'gcp', 'kubernetes', 'keras', 'azure', 'matplotlib', 'tensorflow']"/>
  </r>
  <r>
    <s v="Data Scientist"/>
    <x v="0"/>
    <x v="1"/>
    <x v="170"/>
    <s v="On-site"/>
    <x v="2"/>
    <s v="New York, NY, US"/>
    <x v="2"/>
    <x v="1"/>
    <n v="420"/>
    <s v="['amazon', 'aws']"/>
  </r>
  <r>
    <s v="Data Scientist"/>
    <x v="3"/>
    <x v="1"/>
    <x v="179"/>
    <s v="McLean, VA"/>
    <x v="33"/>
    <s v="McLean, VA, US"/>
    <x v="0"/>
    <x v="0"/>
    <n v="55090"/>
    <s v="['spark', 'aws', 'r', 'python', 'scala', 'sql', 'machine learning', 'database', 'deep learning']"/>
  </r>
  <r>
    <s v="Data Scientist"/>
    <x v="3"/>
    <x v="1"/>
    <x v="364"/>
    <s v="Los Angeles Metropolitan Area . On-site"/>
    <x v="10"/>
    <s v="Los Angeles, CA, US"/>
    <x v="2"/>
    <x v="0"/>
    <n v="510"/>
    <s v="['machine learning', 'python']"/>
  </r>
  <r>
    <s v="Data Scientist"/>
    <x v="0"/>
    <x v="2"/>
    <x v="365"/>
    <s v="Maryland, United States"/>
    <x v="10"/>
    <s v="London, GB"/>
    <x v="2"/>
    <x v="0"/>
    <n v="9200"/>
    <s v="['pytorch', 'aws', 'r', 'python', 'machine learning', 'gcp', 'azure', 'tensorflow']"/>
  </r>
  <r>
    <s v="Data Scientist"/>
    <x v="1"/>
    <x v="1"/>
    <x v="366"/>
    <s v="United States"/>
    <x v="2"/>
    <s v="Columbus, OH, US"/>
    <x v="2"/>
    <x v="0"/>
    <n v="1300"/>
    <s v="['sql', 'machine learning', 'r', 'python']"/>
  </r>
  <r>
    <s v="Data Scientist"/>
    <x v="0"/>
    <x v="0"/>
    <x v="367"/>
    <s v="Bengaluru, Karnataka, India"/>
    <x v="24"/>
    <s v="Mountain View, CA, US"/>
    <x v="2"/>
    <x v="0"/>
    <n v="258790"/>
    <s v="['pandas', 'r', 'python', 'sql', 'database']"/>
  </r>
  <r>
    <s v="Data Scientist"/>
    <x v="0"/>
    <x v="0"/>
    <x v="81"/>
    <s v="Hyderabad, Telangana, India"/>
    <x v="1"/>
    <s v="Armonk, NY, US"/>
    <x v="2"/>
    <x v="0"/>
    <n v="524608"/>
    <s v="['database', 'machine learning', 'java']"/>
  </r>
  <r>
    <s v="Data Scientist"/>
    <x v="0"/>
    <x v="1"/>
    <x v="145"/>
    <s v="Doral, FL"/>
    <x v="5"/>
    <s v="Arlington, VA, US"/>
    <x v="2"/>
    <x v="0"/>
    <n v="20050"/>
    <s v="['r', 'python', 'linux', 'java', 'sql', 'machine learning', 'database', 'deep learning']"/>
  </r>
  <r>
    <s v="Data Scientist"/>
    <x v="3"/>
    <x v="0"/>
    <x v="42"/>
    <s v="Vancouver, British Columbia, Canada . Hybrid"/>
    <x v="22"/>
    <s v="Toronto, ON, CA"/>
    <x v="3"/>
    <x v="0"/>
    <n v="26050"/>
    <s v="['pytorch', 'aws', 'scikit-learn', 'python', 'machine learning']"/>
  </r>
  <r>
    <s v="Data Scientist"/>
    <x v="0"/>
    <x v="2"/>
    <x v="303"/>
    <s v="United States"/>
    <x v="10"/>
    <s v="Omaha, NE, US"/>
    <x v="2"/>
    <x v="1"/>
    <n v="90"/>
    <s v="['sql', 'machine learning', 'python']"/>
  </r>
  <r>
    <s v="Data Scientist"/>
    <x v="0"/>
    <x v="0"/>
    <x v="368"/>
    <s v="Columbus, OH . Hybrid"/>
    <x v="24"/>
    <s v="Hartford, CT, US"/>
    <x v="3"/>
    <x v="0"/>
    <n v="18200"/>
    <s v="['machine learning']"/>
  </r>
  <r>
    <s v="Data Scientist"/>
    <x v="0"/>
    <x v="2"/>
    <x v="369"/>
    <s v="Washington DC-Baltimore Area . Fully Remote"/>
    <x v="2"/>
    <s v="Mountain View, CA, US"/>
    <x v="2"/>
    <x v="1"/>
    <n v="360"/>
    <s v="['aws', 'python', 'machine learning', 'gcp', 'kubernetes', 'azure']"/>
  </r>
  <r>
    <s v="Data Scientist"/>
    <x v="0"/>
    <x v="1"/>
    <x v="370"/>
    <s v="United States, Denver . On-site"/>
    <x v="26"/>
    <s v="New York, NY, US"/>
    <x v="2"/>
    <x v="1"/>
    <n v="900"/>
    <s v="['amazon', 'aws']"/>
  </r>
  <r>
    <s v="Data Scientist"/>
    <x v="0"/>
    <x v="1"/>
    <x v="371"/>
    <s v="Lexington, MA"/>
    <x v="3"/>
    <s v="Heerlen, LI, NL"/>
    <x v="2"/>
    <x v="1"/>
    <s v="Private"/>
    <s v="['aws', 'git', 'r', 'python', 'docker']"/>
  </r>
  <r>
    <s v="Data Scientist"/>
    <x v="3"/>
    <x v="1"/>
    <x v="50"/>
    <s v="New York, New York, United States . On-site"/>
    <x v="2"/>
    <s v="San Francisco, CA, US"/>
    <x v="3"/>
    <x v="1"/>
    <n v="950"/>
    <s v="['amazon', 'aws']"/>
  </r>
  <r>
    <s v="Data Scientist"/>
    <x v="3"/>
    <x v="2"/>
    <x v="188"/>
    <s v="Charlotte, AR . Fully Remote"/>
    <x v="10"/>
    <s v="Cheyenne, WY, US"/>
    <x v="2"/>
    <x v="1"/>
    <s v="Private"/>
    <s v="['sql', 'machine learning', 'python']"/>
  </r>
  <r>
    <s v="Data Scientist"/>
    <x v="3"/>
    <x v="0"/>
    <x v="43"/>
    <s v="Toronto, Canada . Hybrid"/>
    <x v="12"/>
    <s v="San Francisco, CA, US"/>
    <x v="2"/>
    <x v="0"/>
    <n v="5010"/>
    <s v="['amazon', 'aws']"/>
  </r>
  <r>
    <s v="Data Scientist"/>
    <x v="0"/>
    <x v="0"/>
    <x v="372"/>
    <s v="Gainesville, FL"/>
    <x v="5"/>
    <s v="Gainesville, FL, US"/>
    <x v="4"/>
    <x v="1"/>
    <n v="19503"/>
    <s v="['pandas', 'numpy', 'pytorch', 'r', 'python', 'scikit-learn', 'scipy', 'machine learning', 'keras', 'deep learning', 'tensorflow']"/>
  </r>
  <r>
    <s v="Data Scientist"/>
    <x v="0"/>
    <x v="0"/>
    <x v="373"/>
    <s v="San Francisco Bay Area . Hybrid"/>
    <x v="2"/>
    <s v="Dublin 2, IE"/>
    <x v="2"/>
    <x v="1"/>
    <n v="150"/>
    <s v="['pandas', 'spark', 'aws', 'r', 'python', 'scikit-learn', 'opencv', 'sql', 'machine learning', 'gcp', 'deep learning']"/>
  </r>
  <r>
    <s v="Data Scientist"/>
    <x v="0"/>
    <x v="0"/>
    <x v="374"/>
    <s v="Barcelona, Catalonia, Spain"/>
    <x v="17"/>
    <s v="Barcelona, CT, ES"/>
    <x v="2"/>
    <x v="1"/>
    <n v="4770"/>
    <s v="['deep learning', 'aws', 'machine learning', 'python']"/>
  </r>
  <r>
    <s v="Data Scientist"/>
    <x v="0"/>
    <x v="1"/>
    <x v="375"/>
    <s v="San Diego, CA"/>
    <x v="23"/>
    <s v="San Diego, CA, US"/>
    <x v="5"/>
    <x v="1"/>
    <n v="1530"/>
    <s v="['pytorch', 'python', 'java', 'sql', 'machine learning', 'deep learning', 'tensorflow']"/>
  </r>
  <r>
    <s v="Data Scientist"/>
    <x v="0"/>
    <x v="1"/>
    <x v="376"/>
    <s v="Palo Alto, CA . Vancouver, WA . Spring, TX"/>
    <x v="13"/>
    <s v="Palo Alto, CA, US"/>
    <x v="2"/>
    <x v="0"/>
    <n v="51070"/>
    <s v="['sql', 'powerbi', 'machine learning', 'python']"/>
  </r>
  <r>
    <s v="Data Scientist"/>
    <x v="0"/>
    <x v="0"/>
    <x v="377"/>
    <s v="Atlanta, GA"/>
    <x v="36"/>
    <s v="Atlanta, GA, US"/>
    <x v="0"/>
    <x v="0"/>
    <n v="500010"/>
    <s v="['sql', 'tableau', 'python']"/>
  </r>
  <r>
    <s v="Data Scientist"/>
    <x v="0"/>
    <x v="0"/>
    <x v="3"/>
    <s v="San Jose, CA . Hybrid"/>
    <x v="5"/>
    <s v="San Jose, CA, US"/>
    <x v="2"/>
    <x v="0"/>
    <n v="34660"/>
    <s v="['sql', 'machine learning', 'python']"/>
  </r>
  <r>
    <s v="Machine Learning Engineer"/>
    <x v="0"/>
    <x v="2"/>
    <x v="284"/>
    <s v="Maplewood, MN"/>
    <x v="8"/>
    <s v="Maplewood, MN, US"/>
    <x v="5"/>
    <x v="0"/>
    <n v="22020"/>
    <s v="['machine learning', 'python']"/>
  </r>
  <r>
    <s v="Data Scientist"/>
    <x v="0"/>
    <x v="2"/>
    <x v="79"/>
    <s v="Fully Remote"/>
    <x v="19"/>
    <s v="San Francisco, CA, US"/>
    <x v="2"/>
    <x v="0"/>
    <n v="4110"/>
    <s v="['amazon', 'aws']"/>
  </r>
  <r>
    <s v="Machine Learning Engineer"/>
    <x v="2"/>
    <x v="0"/>
    <x v="378"/>
    <s v="Bengaluru, Karnataka, India"/>
    <x v="10"/>
    <s v="Dublin, IE"/>
    <x v="2"/>
    <x v="0"/>
    <n v="492245"/>
    <s v="['machine learning']"/>
  </r>
  <r>
    <s v="Data Scientist"/>
    <x v="0"/>
    <x v="2"/>
    <x v="258"/>
    <s v="Denver, CO - Remote . Fully Remote"/>
    <x v="26"/>
    <s v="Denver, CO, US"/>
    <x v="2"/>
    <x v="0"/>
    <n v="2540"/>
    <s v="['amazon', 'aws']"/>
  </r>
  <r>
    <s v="Data Scientist"/>
    <x v="0"/>
    <x v="0"/>
    <x v="379"/>
    <s v="Washington, DC . Hybrid"/>
    <x v="2"/>
    <s v="MontrÃ©al, QC, CA"/>
    <x v="2"/>
    <x v="0"/>
    <n v="57290"/>
    <s v="['r', 'python', 'sql', 'machine learning', 'matplotlib', 'tableau']"/>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0A2026-3FB2-477E-820C-3E70322D7974}" name="PivotTable9" cacheId="1" applyNumberFormats="0" applyBorderFormats="0" applyFontFormats="0" applyPatternFormats="0" applyAlignmentFormats="0" applyWidthHeightFormats="1" dataCaption="Values" missingCaption="0" updatedVersion="8" minRefreshableVersion="3" useAutoFormatting="1" itemPrintTitles="1" createdVersion="8" indent="0" compact="0" compactData="0" multipleFieldFilters="0">
  <location ref="M3:X29" firstHeaderRow="1" firstDataRow="3" firstDataCol="2"/>
  <pivotFields count="11">
    <pivotField compact="0" outline="0" showAll="0"/>
    <pivotField axis="axisCol" compact="0" outline="0" showAll="0">
      <items count="5">
        <item x="2"/>
        <item x="1"/>
        <item x="3"/>
        <item x="0"/>
        <item t="default"/>
      </items>
    </pivotField>
    <pivotField compact="0" outline="0" showAll="0"/>
    <pivotField dataField="1" compact="0" outline="0" showAll="0">
      <items count="381">
        <item x="0"/>
        <item x="1"/>
        <item x="2"/>
        <item x="3"/>
        <item x="4"/>
        <item x="5"/>
        <item x="6"/>
        <item x="7"/>
        <item x="8"/>
        <item x="9"/>
        <item x="10"/>
        <item x="205"/>
        <item x="11"/>
        <item x="12"/>
        <item x="13"/>
        <item x="355"/>
        <item x="14"/>
        <item x="15"/>
        <item x="16"/>
        <item x="17"/>
        <item x="18"/>
        <item x="19"/>
        <item x="20"/>
        <item x="21"/>
        <item x="22"/>
        <item x="23"/>
        <item x="24"/>
        <item x="25"/>
        <item x="26"/>
        <item x="27"/>
        <item x="28"/>
        <item x="29"/>
        <item x="30"/>
        <item x="31"/>
        <item x="32"/>
        <item x="33"/>
        <item x="34"/>
        <item x="35"/>
        <item x="36"/>
        <item x="37"/>
        <item x="38"/>
        <item x="39"/>
        <item x="40"/>
        <item x="41"/>
        <item x="42"/>
        <item x="43"/>
        <item x="345"/>
        <item x="44"/>
        <item x="45"/>
        <item x="46"/>
        <item x="47"/>
        <item x="48"/>
        <item x="49"/>
        <item x="50"/>
        <item x="51"/>
        <item x="52"/>
        <item x="53"/>
        <item x="54"/>
        <item x="55"/>
        <item x="56"/>
        <item x="57"/>
        <item x="58"/>
        <item x="59"/>
        <item x="60"/>
        <item x="61"/>
        <item x="62"/>
        <item x="63"/>
        <item x="64"/>
        <item x="65"/>
        <item x="66"/>
        <item x="67"/>
        <item x="68"/>
        <item x="211"/>
        <item x="69"/>
        <item x="70"/>
        <item x="71"/>
        <item x="348"/>
        <item x="72"/>
        <item x="73"/>
        <item x="74"/>
        <item x="75"/>
        <item x="76"/>
        <item x="77"/>
        <item x="78"/>
        <item x="79"/>
        <item x="80"/>
        <item x="81"/>
        <item x="82"/>
        <item x="83"/>
        <item x="84"/>
        <item x="85"/>
        <item x="86"/>
        <item x="87"/>
        <item x="88"/>
        <item x="89"/>
        <item x="90"/>
        <item x="91"/>
        <item x="92"/>
        <item x="93"/>
        <item x="94"/>
        <item x="95"/>
        <item x="96"/>
        <item x="97"/>
        <item x="160"/>
        <item x="98"/>
        <item x="99"/>
        <item x="100"/>
        <item x="101"/>
        <item x="102"/>
        <item x="379"/>
        <item x="103"/>
        <item x="279"/>
        <item x="104"/>
        <item x="105"/>
        <item x="106"/>
        <item x="107"/>
        <item x="108"/>
        <item x="109"/>
        <item x="110"/>
        <item x="111"/>
        <item x="112"/>
        <item x="113"/>
        <item x="114"/>
        <item x="115"/>
        <item x="116"/>
        <item x="117"/>
        <item x="118"/>
        <item x="149"/>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217"/>
        <item x="147"/>
        <item x="148"/>
        <item x="150"/>
        <item x="151"/>
        <item x="152"/>
        <item x="153"/>
        <item x="154"/>
        <item x="155"/>
        <item x="156"/>
        <item x="157"/>
        <item x="158"/>
        <item x="159"/>
        <item x="161"/>
        <item x="162"/>
        <item x="163"/>
        <item x="164"/>
        <item x="165"/>
        <item x="166"/>
        <item x="167"/>
        <item x="168"/>
        <item x="169"/>
        <item x="170"/>
        <item x="171"/>
        <item x="172"/>
        <item x="173"/>
        <item x="174"/>
        <item x="175"/>
        <item x="176"/>
        <item x="177"/>
        <item x="178"/>
        <item x="179"/>
        <item x="180"/>
        <item x="181"/>
        <item x="182"/>
        <item x="183"/>
        <item x="184"/>
        <item x="185"/>
        <item x="370"/>
        <item x="369"/>
        <item x="186"/>
        <item x="187"/>
        <item x="340"/>
        <item x="188"/>
        <item x="189"/>
        <item x="190"/>
        <item x="191"/>
        <item x="192"/>
        <item x="193"/>
        <item x="194"/>
        <item x="195"/>
        <item x="196"/>
        <item x="197"/>
        <item x="323"/>
        <item x="198"/>
        <item x="199"/>
        <item x="200"/>
        <item x="201"/>
        <item x="202"/>
        <item x="203"/>
        <item x="204"/>
        <item x="206"/>
        <item x="207"/>
        <item x="253"/>
        <item x="208"/>
        <item x="209"/>
        <item x="210"/>
        <item x="212"/>
        <item x="213"/>
        <item x="214"/>
        <item x="215"/>
        <item x="216"/>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4"/>
        <item x="255"/>
        <item x="256"/>
        <item x="257"/>
        <item x="258"/>
        <item x="259"/>
        <item x="260"/>
        <item x="261"/>
        <item x="262"/>
        <item x="263"/>
        <item x="264"/>
        <item x="265"/>
        <item x="266"/>
        <item x="267"/>
        <item x="268"/>
        <item x="269"/>
        <item x="270"/>
        <item x="271"/>
        <item x="272"/>
        <item x="273"/>
        <item x="274"/>
        <item x="275"/>
        <item x="344"/>
        <item x="276"/>
        <item x="277"/>
        <item x="278"/>
        <item x="280"/>
        <item x="281"/>
        <item x="282"/>
        <item x="283"/>
        <item x="284"/>
        <item x="285"/>
        <item x="36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4"/>
        <item x="325"/>
        <item x="326"/>
        <item x="327"/>
        <item x="328"/>
        <item x="329"/>
        <item x="330"/>
        <item x="331"/>
        <item x="332"/>
        <item x="333"/>
        <item x="334"/>
        <item x="335"/>
        <item x="336"/>
        <item x="337"/>
        <item x="338"/>
        <item x="339"/>
        <item x="341"/>
        <item x="342"/>
        <item x="343"/>
        <item x="346"/>
        <item x="347"/>
        <item x="349"/>
        <item x="350"/>
        <item x="351"/>
        <item x="352"/>
        <item x="353"/>
        <item x="354"/>
        <item x="356"/>
        <item x="357"/>
        <item x="371"/>
        <item x="358"/>
        <item x="359"/>
        <item x="360"/>
        <item x="361"/>
        <item x="362"/>
        <item x="363"/>
        <item x="364"/>
        <item x="366"/>
        <item x="367"/>
        <item x="368"/>
        <item x="372"/>
        <item x="373"/>
        <item x="374"/>
        <item x="375"/>
        <item x="376"/>
        <item x="377"/>
        <item x="378"/>
        <item t="default"/>
      </items>
    </pivotField>
    <pivotField compact="0" outline="0" showAll="0"/>
    <pivotField compact="0" outline="0" showAll="0"/>
    <pivotField compact="0" outline="0" showAll="0"/>
    <pivotField axis="axisRow" compact="0" outline="0" showAll="0">
      <items count="9">
        <item x="4"/>
        <item x="6"/>
        <item x="3"/>
        <item x="5"/>
        <item x="7"/>
        <item x="1"/>
        <item x="0"/>
        <item x="2"/>
        <item t="default"/>
      </items>
    </pivotField>
    <pivotField axis="axisRow" compact="0" outline="0" showAll="0">
      <items count="3">
        <item x="1"/>
        <item x="0"/>
        <item t="default"/>
      </items>
    </pivotField>
    <pivotField dataField="1" compact="0" outline="0" showAll="0"/>
    <pivotField compact="0" outline="0" showAll="0"/>
  </pivotFields>
  <rowFields count="2">
    <field x="7"/>
    <field x="8"/>
  </rowFields>
  <rowItems count="24">
    <i>
      <x/>
      <x/>
    </i>
    <i r="1">
      <x v="1"/>
    </i>
    <i t="default">
      <x/>
    </i>
    <i>
      <x v="1"/>
      <x/>
    </i>
    <i r="1">
      <x v="1"/>
    </i>
    <i t="default">
      <x v="1"/>
    </i>
    <i>
      <x v="2"/>
      <x/>
    </i>
    <i r="1">
      <x v="1"/>
    </i>
    <i t="default">
      <x v="2"/>
    </i>
    <i>
      <x v="3"/>
      <x/>
    </i>
    <i r="1">
      <x v="1"/>
    </i>
    <i t="default">
      <x v="3"/>
    </i>
    <i>
      <x v="4"/>
      <x/>
    </i>
    <i t="default">
      <x v="4"/>
    </i>
    <i>
      <x v="5"/>
      <x/>
    </i>
    <i r="1">
      <x v="1"/>
    </i>
    <i t="default">
      <x v="5"/>
    </i>
    <i>
      <x v="6"/>
      <x/>
    </i>
    <i r="1">
      <x v="1"/>
    </i>
    <i t="default">
      <x v="6"/>
    </i>
    <i>
      <x v="7"/>
      <x/>
    </i>
    <i r="1">
      <x v="1"/>
    </i>
    <i t="default">
      <x v="7"/>
    </i>
    <i t="grand">
      <x/>
    </i>
  </rowItems>
  <colFields count="2">
    <field x="1"/>
    <field x="-2"/>
  </colFields>
  <colItems count="10">
    <i>
      <x/>
      <x/>
    </i>
    <i r="1" i="1">
      <x v="1"/>
    </i>
    <i>
      <x v="1"/>
      <x/>
    </i>
    <i r="1" i="1">
      <x v="1"/>
    </i>
    <i>
      <x v="2"/>
      <x/>
    </i>
    <i r="1" i="1">
      <x v="1"/>
    </i>
    <i>
      <x v="3"/>
      <x/>
    </i>
    <i r="1" i="1">
      <x v="1"/>
    </i>
    <i t="grand">
      <x/>
    </i>
    <i t="grand" i="1">
      <x/>
    </i>
  </colItems>
  <dataFields count="2">
    <dataField name="Count of Company" fld="3" subtotal="count" baseField="0" baseItem="0"/>
    <dataField name="Sum of Company Size" fld="9" baseField="8" baseItem="0"/>
  </dataFields>
  <formats count="36">
    <format dxfId="652">
      <pivotArea type="all" dataOnly="0" outline="0" fieldPosition="0"/>
    </format>
    <format dxfId="651">
      <pivotArea outline="0" collapsedLevelsAreSubtotals="1" fieldPosition="0"/>
    </format>
    <format dxfId="650">
      <pivotArea field="7" type="button" dataOnly="0" labelOnly="1" outline="0" axis="axisRow" fieldPosition="0"/>
    </format>
    <format dxfId="649">
      <pivotArea dataOnly="0" labelOnly="1" outline="0" fieldPosition="0">
        <references count="1">
          <reference field="7" count="0"/>
        </references>
      </pivotArea>
    </format>
    <format dxfId="648">
      <pivotArea dataOnly="0" labelOnly="1" grandRow="1" outline="0" fieldPosition="0"/>
    </format>
    <format dxfId="647">
      <pivotArea dataOnly="0" labelOnly="1" outline="0" axis="axisValues" fieldPosition="0"/>
    </format>
    <format dxfId="646">
      <pivotArea type="all" dataOnly="0" outline="0" fieldPosition="0"/>
    </format>
    <format dxfId="645">
      <pivotArea outline="0" collapsedLevelsAreSubtotals="1" fieldPosition="0"/>
    </format>
    <format dxfId="644">
      <pivotArea field="7" type="button" dataOnly="0" labelOnly="1" outline="0" axis="axisRow" fieldPosition="0"/>
    </format>
    <format dxfId="643">
      <pivotArea dataOnly="0" labelOnly="1" outline="0" fieldPosition="0">
        <references count="1">
          <reference field="7" count="0"/>
        </references>
      </pivotArea>
    </format>
    <format dxfId="642">
      <pivotArea dataOnly="0" labelOnly="1" grandRow="1" outline="0" fieldPosition="0"/>
    </format>
    <format dxfId="641">
      <pivotArea dataOnly="0" labelOnly="1" outline="0" axis="axisValues" fieldPosition="0"/>
    </format>
    <format dxfId="580">
      <pivotArea dataOnly="0" labelOnly="1" outline="0" fieldPosition="0">
        <references count="1">
          <reference field="7" count="1">
            <x v="0"/>
          </reference>
        </references>
      </pivotArea>
    </format>
    <format dxfId="579">
      <pivotArea dataOnly="0" labelOnly="1" outline="0" fieldPosition="0">
        <references count="1">
          <reference field="7" count="1">
            <x v="1"/>
          </reference>
        </references>
      </pivotArea>
    </format>
    <format dxfId="578">
      <pivotArea dataOnly="0" labelOnly="1" outline="0" fieldPosition="0">
        <references count="1">
          <reference field="7" count="1">
            <x v="2"/>
          </reference>
        </references>
      </pivotArea>
    </format>
    <format dxfId="577">
      <pivotArea dataOnly="0" labelOnly="1" outline="0" fieldPosition="0">
        <references count="1">
          <reference field="7" count="1">
            <x v="3"/>
          </reference>
        </references>
      </pivotArea>
    </format>
    <format dxfId="576">
      <pivotArea dataOnly="0" labelOnly="1" outline="0" fieldPosition="0">
        <references count="1">
          <reference field="7" count="1">
            <x v="4"/>
          </reference>
        </references>
      </pivotArea>
    </format>
    <format dxfId="575">
      <pivotArea dataOnly="0" labelOnly="1" outline="0" fieldPosition="0">
        <references count="1">
          <reference field="7" count="1">
            <x v="5"/>
          </reference>
        </references>
      </pivotArea>
    </format>
    <format dxfId="574">
      <pivotArea dataOnly="0" labelOnly="1" outline="0" fieldPosition="0">
        <references count="1">
          <reference field="7" count="1">
            <x v="6"/>
          </reference>
        </references>
      </pivotArea>
    </format>
    <format dxfId="573">
      <pivotArea dataOnly="0" labelOnly="1" outline="0" fieldPosition="0">
        <references count="1">
          <reference field="7" count="1">
            <x v="7"/>
          </reference>
        </references>
      </pivotArea>
    </format>
    <format dxfId="572">
      <pivotArea outline="0" fieldPosition="0">
        <references count="1">
          <reference field="7" count="1" selected="0" defaultSubtotal="1">
            <x v="0"/>
          </reference>
        </references>
      </pivotArea>
    </format>
    <format dxfId="571">
      <pivotArea dataOnly="0" labelOnly="1" outline="0" fieldPosition="0">
        <references count="1">
          <reference field="7" count="1" defaultSubtotal="1">
            <x v="0"/>
          </reference>
        </references>
      </pivotArea>
    </format>
    <format dxfId="569">
      <pivotArea outline="0" fieldPosition="0">
        <references count="1">
          <reference field="7" count="1" selected="0" defaultSubtotal="1">
            <x v="2"/>
          </reference>
        </references>
      </pivotArea>
    </format>
    <format dxfId="568">
      <pivotArea dataOnly="0" labelOnly="1" outline="0" fieldPosition="0">
        <references count="1">
          <reference field="7" count="1" defaultSubtotal="1">
            <x v="2"/>
          </reference>
        </references>
      </pivotArea>
    </format>
    <format dxfId="566">
      <pivotArea outline="0" fieldPosition="0">
        <references count="1">
          <reference field="7" count="1" selected="0" defaultSubtotal="1">
            <x v="3"/>
          </reference>
        </references>
      </pivotArea>
    </format>
    <format dxfId="565">
      <pivotArea dataOnly="0" labelOnly="1" outline="0" fieldPosition="0">
        <references count="1">
          <reference field="7" count="1" defaultSubtotal="1">
            <x v="3"/>
          </reference>
        </references>
      </pivotArea>
    </format>
    <format dxfId="563">
      <pivotArea outline="0" fieldPosition="0">
        <references count="1">
          <reference field="7" count="1" selected="0" defaultSubtotal="1">
            <x v="5"/>
          </reference>
        </references>
      </pivotArea>
    </format>
    <format dxfId="562">
      <pivotArea dataOnly="0" labelOnly="1" outline="0" fieldPosition="0">
        <references count="1">
          <reference field="7" count="1" defaultSubtotal="1">
            <x v="5"/>
          </reference>
        </references>
      </pivotArea>
    </format>
    <format dxfId="560">
      <pivotArea outline="0" fieldPosition="0">
        <references count="1">
          <reference field="7" count="1" selected="0" defaultSubtotal="1">
            <x v="6"/>
          </reference>
        </references>
      </pivotArea>
    </format>
    <format dxfId="559">
      <pivotArea dataOnly="0" labelOnly="1" outline="0" fieldPosition="0">
        <references count="1">
          <reference field="7" count="1" defaultSubtotal="1">
            <x v="6"/>
          </reference>
        </references>
      </pivotArea>
    </format>
    <format dxfId="557">
      <pivotArea outline="0" fieldPosition="0">
        <references count="1">
          <reference field="7" count="1" selected="0" defaultSubtotal="1">
            <x v="7"/>
          </reference>
        </references>
      </pivotArea>
    </format>
    <format dxfId="556">
      <pivotArea dataOnly="0" labelOnly="1" outline="0" fieldPosition="0">
        <references count="1">
          <reference field="7" count="1" defaultSubtotal="1">
            <x v="7"/>
          </reference>
        </references>
      </pivotArea>
    </format>
    <format dxfId="554">
      <pivotArea outline="0" fieldPosition="0">
        <references count="1">
          <reference field="7" count="1" selected="0" defaultSubtotal="1">
            <x v="4"/>
          </reference>
        </references>
      </pivotArea>
    </format>
    <format dxfId="553">
      <pivotArea dataOnly="0" labelOnly="1" outline="0" fieldPosition="0">
        <references count="1">
          <reference field="7" count="1" defaultSubtotal="1">
            <x v="4"/>
          </reference>
        </references>
      </pivotArea>
    </format>
    <format dxfId="551">
      <pivotArea outline="0" fieldPosition="0">
        <references count="1">
          <reference field="7" count="1" selected="0" defaultSubtotal="1">
            <x v="1"/>
          </reference>
        </references>
      </pivotArea>
    </format>
    <format dxfId="550">
      <pivotArea dataOnly="0" labelOnly="1" outline="0" fieldPosition="0">
        <references count="1">
          <reference field="7" count="1" defaultSubtotal="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C39562-55E4-4637-B3BD-1C41806B304A}"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F3:I36" firstHeaderRow="1" firstDataRow="1" firstDataCol="3"/>
  <pivotFields count="11">
    <pivotField axis="axisRow" compact="0" outline="0" showAll="0">
      <items count="4">
        <item x="2"/>
        <item x="0"/>
        <item x="1"/>
        <item t="default"/>
      </items>
    </pivotField>
    <pivotField axis="axisRow" compact="0" outline="0" showAll="0">
      <items count="5">
        <item x="2"/>
        <item x="1"/>
        <item x="3"/>
        <item x="0"/>
        <item t="default"/>
      </items>
    </pivotField>
    <pivotField axis="axisRow" compact="0" outline="0" showAll="0">
      <items count="4">
        <item x="0"/>
        <item x="1"/>
        <item x="2"/>
        <item t="default"/>
      </items>
    </pivotField>
    <pivotField compact="0" outline="0" showAll="0">
      <items count="381">
        <item x="0"/>
        <item x="1"/>
        <item x="2"/>
        <item x="3"/>
        <item x="4"/>
        <item x="5"/>
        <item x="6"/>
        <item x="7"/>
        <item x="8"/>
        <item x="9"/>
        <item x="10"/>
        <item x="205"/>
        <item x="11"/>
        <item x="12"/>
        <item x="13"/>
        <item x="355"/>
        <item x="14"/>
        <item x="15"/>
        <item x="16"/>
        <item x="17"/>
        <item x="18"/>
        <item x="19"/>
        <item x="20"/>
        <item x="21"/>
        <item x="22"/>
        <item x="23"/>
        <item x="24"/>
        <item x="25"/>
        <item x="26"/>
        <item x="27"/>
        <item x="28"/>
        <item x="29"/>
        <item x="30"/>
        <item x="31"/>
        <item x="32"/>
        <item x="33"/>
        <item x="34"/>
        <item x="35"/>
        <item x="36"/>
        <item x="37"/>
        <item x="38"/>
        <item x="39"/>
        <item x="40"/>
        <item x="41"/>
        <item x="42"/>
        <item x="43"/>
        <item x="345"/>
        <item x="44"/>
        <item x="45"/>
        <item x="46"/>
        <item x="47"/>
        <item x="48"/>
        <item x="49"/>
        <item x="50"/>
        <item x="51"/>
        <item x="52"/>
        <item x="53"/>
        <item x="54"/>
        <item x="55"/>
        <item x="56"/>
        <item x="57"/>
        <item x="58"/>
        <item x="59"/>
        <item x="60"/>
        <item x="61"/>
        <item x="62"/>
        <item x="63"/>
        <item x="64"/>
        <item x="65"/>
        <item x="66"/>
        <item x="67"/>
        <item x="68"/>
        <item x="211"/>
        <item x="69"/>
        <item x="70"/>
        <item x="71"/>
        <item x="348"/>
        <item x="72"/>
        <item x="73"/>
        <item x="74"/>
        <item x="75"/>
        <item x="76"/>
        <item x="77"/>
        <item x="78"/>
        <item x="79"/>
        <item x="80"/>
        <item x="81"/>
        <item x="82"/>
        <item x="83"/>
        <item x="84"/>
        <item x="85"/>
        <item x="86"/>
        <item x="87"/>
        <item x="88"/>
        <item x="89"/>
        <item x="90"/>
        <item x="91"/>
        <item x="92"/>
        <item x="93"/>
        <item x="94"/>
        <item x="95"/>
        <item x="96"/>
        <item x="97"/>
        <item x="160"/>
        <item x="98"/>
        <item x="99"/>
        <item x="100"/>
        <item x="101"/>
        <item x="102"/>
        <item x="379"/>
        <item x="103"/>
        <item x="279"/>
        <item x="104"/>
        <item x="105"/>
        <item x="106"/>
        <item x="107"/>
        <item x="108"/>
        <item x="109"/>
        <item x="110"/>
        <item x="111"/>
        <item x="112"/>
        <item x="113"/>
        <item x="114"/>
        <item x="115"/>
        <item x="116"/>
        <item x="117"/>
        <item x="118"/>
        <item x="149"/>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217"/>
        <item x="147"/>
        <item x="148"/>
        <item x="150"/>
        <item x="151"/>
        <item x="152"/>
        <item x="153"/>
        <item x="154"/>
        <item x="155"/>
        <item x="156"/>
        <item x="157"/>
        <item x="158"/>
        <item x="159"/>
        <item x="161"/>
        <item x="162"/>
        <item x="163"/>
        <item x="164"/>
        <item x="165"/>
        <item x="166"/>
        <item x="167"/>
        <item x="168"/>
        <item x="169"/>
        <item x="170"/>
        <item x="171"/>
        <item x="172"/>
        <item x="173"/>
        <item x="174"/>
        <item x="175"/>
        <item x="176"/>
        <item x="177"/>
        <item x="178"/>
        <item x="179"/>
        <item x="180"/>
        <item x="181"/>
        <item x="182"/>
        <item x="183"/>
        <item x="184"/>
        <item x="185"/>
        <item x="370"/>
        <item x="369"/>
        <item x="186"/>
        <item x="187"/>
        <item x="340"/>
        <item x="188"/>
        <item x="189"/>
        <item x="190"/>
        <item x="191"/>
        <item x="192"/>
        <item x="193"/>
        <item x="194"/>
        <item x="195"/>
        <item x="196"/>
        <item x="197"/>
        <item x="323"/>
        <item x="198"/>
        <item x="199"/>
        <item x="200"/>
        <item x="201"/>
        <item x="202"/>
        <item x="203"/>
        <item x="204"/>
        <item x="206"/>
        <item x="207"/>
        <item x="253"/>
        <item x="208"/>
        <item x="209"/>
        <item x="210"/>
        <item x="212"/>
        <item x="213"/>
        <item x="214"/>
        <item x="215"/>
        <item x="216"/>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4"/>
        <item x="255"/>
        <item x="256"/>
        <item x="257"/>
        <item x="258"/>
        <item x="259"/>
        <item x="260"/>
        <item x="261"/>
        <item x="262"/>
        <item x="263"/>
        <item x="264"/>
        <item x="265"/>
        <item x="266"/>
        <item x="267"/>
        <item x="268"/>
        <item x="269"/>
        <item x="270"/>
        <item x="271"/>
        <item x="272"/>
        <item x="273"/>
        <item x="274"/>
        <item x="275"/>
        <item x="344"/>
        <item x="276"/>
        <item x="277"/>
        <item x="278"/>
        <item x="280"/>
        <item x="281"/>
        <item x="282"/>
        <item x="283"/>
        <item x="284"/>
        <item x="285"/>
        <item x="36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4"/>
        <item x="325"/>
        <item x="326"/>
        <item x="327"/>
        <item x="328"/>
        <item x="329"/>
        <item x="330"/>
        <item x="331"/>
        <item x="332"/>
        <item x="333"/>
        <item x="334"/>
        <item x="335"/>
        <item x="336"/>
        <item x="337"/>
        <item x="338"/>
        <item x="339"/>
        <item x="341"/>
        <item x="342"/>
        <item x="343"/>
        <item x="346"/>
        <item x="347"/>
        <item x="349"/>
        <item x="350"/>
        <item x="351"/>
        <item x="352"/>
        <item x="353"/>
        <item x="354"/>
        <item x="356"/>
        <item x="357"/>
        <item x="371"/>
        <item x="358"/>
        <item x="359"/>
        <item x="360"/>
        <item x="361"/>
        <item x="362"/>
        <item x="363"/>
        <item x="364"/>
        <item x="366"/>
        <item x="367"/>
        <item x="368"/>
        <item x="372"/>
        <item x="373"/>
        <item x="374"/>
        <item x="375"/>
        <item x="376"/>
        <item x="377"/>
        <item x="378"/>
        <item t="default"/>
      </items>
    </pivotField>
    <pivotField compact="0" outline="0" showAll="0"/>
    <pivotField compact="0" outline="0" showAll="0"/>
    <pivotField compact="0" outline="0" showAll="0"/>
    <pivotField compact="0" outline="0" showAll="0"/>
    <pivotField compact="0" outline="0" showAll="0"/>
    <pivotField dataField="1" compact="0" outline="0" showAll="0">
      <items count="346">
        <item x="49"/>
        <item x="90"/>
        <item x="66"/>
        <item x="138"/>
        <item x="14"/>
        <item x="47"/>
        <item x="191"/>
        <item x="240"/>
        <item x="39"/>
        <item x="212"/>
        <item x="144"/>
        <item x="278"/>
        <item x="22"/>
        <item x="8"/>
        <item x="18"/>
        <item x="5"/>
        <item x="93"/>
        <item x="36"/>
        <item x="255"/>
        <item x="11"/>
        <item x="172"/>
        <item x="177"/>
        <item x="15"/>
        <item x="202"/>
        <item x="184"/>
        <item x="48"/>
        <item x="24"/>
        <item x="162"/>
        <item x="127"/>
        <item x="58"/>
        <item x="288"/>
        <item x="225"/>
        <item x="116"/>
        <item x="317"/>
        <item x="214"/>
        <item x="70"/>
        <item x="206"/>
        <item x="100"/>
        <item x="158"/>
        <item x="139"/>
        <item x="279"/>
        <item x="173"/>
        <item x="228"/>
        <item x="253"/>
        <item x="51"/>
        <item x="237"/>
        <item x="73"/>
        <item x="26"/>
        <item x="89"/>
        <item x="92"/>
        <item x="7"/>
        <item x="153"/>
        <item x="50"/>
        <item x="157"/>
        <item x="43"/>
        <item x="141"/>
        <item x="238"/>
        <item x="205"/>
        <item x="315"/>
        <item x="95"/>
        <item x="274"/>
        <item x="97"/>
        <item x="186"/>
        <item x="63"/>
        <item x="332"/>
        <item x="219"/>
        <item x="31"/>
        <item x="302"/>
        <item x="271"/>
        <item x="252"/>
        <item x="34"/>
        <item x="4"/>
        <item x="167"/>
        <item x="260"/>
        <item x="77"/>
        <item x="244"/>
        <item x="273"/>
        <item x="44"/>
        <item x="57"/>
        <item x="254"/>
        <item x="117"/>
        <item x="152"/>
        <item x="270"/>
        <item x="75"/>
        <item x="72"/>
        <item x="176"/>
        <item x="82"/>
        <item x="188"/>
        <item x="112"/>
        <item x="248"/>
        <item x="220"/>
        <item x="241"/>
        <item x="259"/>
        <item x="276"/>
        <item x="146"/>
        <item x="267"/>
        <item x="301"/>
        <item x="197"/>
        <item x="118"/>
        <item x="86"/>
        <item x="25"/>
        <item x="251"/>
        <item x="174"/>
        <item x="45"/>
        <item x="329"/>
        <item x="83"/>
        <item x="226"/>
        <item x="79"/>
        <item x="203"/>
        <item x="342"/>
        <item x="246"/>
        <item x="208"/>
        <item x="299"/>
        <item x="245"/>
        <item x="230"/>
        <item x="32"/>
        <item x="29"/>
        <item x="322"/>
        <item x="243"/>
        <item x="42"/>
        <item x="242"/>
        <item x="35"/>
        <item x="65"/>
        <item x="9"/>
        <item x="201"/>
        <item x="67"/>
        <item x="190"/>
        <item x="262"/>
        <item x="264"/>
        <item x="239"/>
        <item x="316"/>
        <item x="215"/>
        <item x="196"/>
        <item x="213"/>
        <item x="194"/>
        <item x="156"/>
        <item x="27"/>
        <item x="182"/>
        <item x="229"/>
        <item x="216"/>
        <item x="175"/>
        <item x="38"/>
        <item x="37"/>
        <item x="331"/>
        <item x="272"/>
        <item x="233"/>
        <item x="104"/>
        <item x="185"/>
        <item x="294"/>
        <item x="85"/>
        <item x="101"/>
        <item x="269"/>
        <item x="84"/>
        <item x="232"/>
        <item x="54"/>
        <item x="304"/>
        <item x="142"/>
        <item x="21"/>
        <item x="161"/>
        <item x="281"/>
        <item x="103"/>
        <item x="266"/>
        <item x="296"/>
        <item x="199"/>
        <item x="249"/>
        <item x="155"/>
        <item x="183"/>
        <item x="74"/>
        <item x="154"/>
        <item x="137"/>
        <item x="323"/>
        <item x="200"/>
        <item x="318"/>
        <item x="325"/>
        <item x="181"/>
        <item x="287"/>
        <item x="62"/>
        <item x="6"/>
        <item x="222"/>
        <item x="336"/>
        <item x="94"/>
        <item x="337"/>
        <item x="334"/>
        <item x="147"/>
        <item x="268"/>
        <item x="12"/>
        <item x="119"/>
        <item x="309"/>
        <item x="76"/>
        <item x="341"/>
        <item x="247"/>
        <item x="282"/>
        <item x="114"/>
        <item x="52"/>
        <item x="298"/>
        <item x="105"/>
        <item x="102"/>
        <item x="46"/>
        <item x="169"/>
        <item x="78"/>
        <item x="297"/>
        <item x="140"/>
        <item x="261"/>
        <item x="324"/>
        <item x="2"/>
        <item x="120"/>
        <item x="250"/>
        <item x="133"/>
        <item x="41"/>
        <item x="335"/>
        <item x="295"/>
        <item x="33"/>
        <item x="284"/>
        <item x="258"/>
        <item x="106"/>
        <item x="28"/>
        <item x="311"/>
        <item x="290"/>
        <item x="109"/>
        <item x="129"/>
        <item x="64"/>
        <item x="53"/>
        <item x="207"/>
        <item x="289"/>
        <item x="210"/>
        <item x="122"/>
        <item x="328"/>
        <item x="306"/>
        <item x="110"/>
        <item x="170"/>
        <item x="256"/>
        <item x="340"/>
        <item x="3"/>
        <item x="91"/>
        <item x="218"/>
        <item x="0"/>
        <item x="280"/>
        <item x="180"/>
        <item x="149"/>
        <item x="56"/>
        <item x="128"/>
        <item x="224"/>
        <item x="131"/>
        <item x="96"/>
        <item x="40"/>
        <item x="223"/>
        <item x="20"/>
        <item x="192"/>
        <item x="204"/>
        <item x="160"/>
        <item x="107"/>
        <item x="236"/>
        <item x="338"/>
        <item x="231"/>
        <item x="211"/>
        <item x="80"/>
        <item x="307"/>
        <item x="193"/>
        <item x="151"/>
        <item x="330"/>
        <item x="179"/>
        <item x="217"/>
        <item x="344"/>
        <item x="159"/>
        <item x="221"/>
        <item x="178"/>
        <item x="326"/>
        <item x="150"/>
        <item x="321"/>
        <item x="291"/>
        <item x="163"/>
        <item x="134"/>
        <item x="60"/>
        <item x="130"/>
        <item x="320"/>
        <item x="257"/>
        <item x="265"/>
        <item x="286"/>
        <item x="115"/>
        <item x="166"/>
        <item x="293"/>
        <item x="125"/>
        <item x="108"/>
        <item x="98"/>
        <item x="195"/>
        <item x="209"/>
        <item x="143"/>
        <item x="111"/>
        <item x="19"/>
        <item x="126"/>
        <item x="308"/>
        <item x="263"/>
        <item x="88"/>
        <item x="171"/>
        <item x="187"/>
        <item x="55"/>
        <item x="319"/>
        <item x="10"/>
        <item x="68"/>
        <item x="121"/>
        <item x="234"/>
        <item x="292"/>
        <item x="136"/>
        <item x="71"/>
        <item x="313"/>
        <item x="275"/>
        <item x="312"/>
        <item x="59"/>
        <item x="277"/>
        <item x="285"/>
        <item x="310"/>
        <item x="168"/>
        <item x="13"/>
        <item x="164"/>
        <item x="87"/>
        <item x="16"/>
        <item x="165"/>
        <item x="1"/>
        <item x="235"/>
        <item x="30"/>
        <item x="300"/>
        <item x="145"/>
        <item x="61"/>
        <item x="303"/>
        <item x="227"/>
        <item x="148"/>
        <item x="327"/>
        <item x="132"/>
        <item x="23"/>
        <item x="99"/>
        <item x="17"/>
        <item x="333"/>
        <item x="314"/>
        <item x="135"/>
        <item x="305"/>
        <item x="123"/>
        <item x="113"/>
        <item x="124"/>
        <item x="198"/>
        <item x="343"/>
        <item x="339"/>
        <item x="81"/>
        <item x="69"/>
        <item x="283"/>
        <item x="189"/>
        <item t="default"/>
      </items>
    </pivotField>
    <pivotField compact="0" outline="0" showAll="0"/>
  </pivotFields>
  <rowFields count="3">
    <field x="0"/>
    <field x="1"/>
    <field x="2"/>
  </rowFields>
  <rowItems count="33">
    <i>
      <x/>
      <x v="2"/>
      <x v="2"/>
    </i>
    <i t="default" r="1">
      <x v="2"/>
    </i>
    <i t="default">
      <x/>
    </i>
    <i>
      <x v="1"/>
      <x/>
      <x/>
    </i>
    <i r="2">
      <x v="1"/>
    </i>
    <i r="2">
      <x v="2"/>
    </i>
    <i t="default" r="1">
      <x/>
    </i>
    <i r="1">
      <x v="1"/>
      <x/>
    </i>
    <i r="2">
      <x v="1"/>
    </i>
    <i r="2">
      <x v="2"/>
    </i>
    <i t="default" r="1">
      <x v="1"/>
    </i>
    <i r="1">
      <x v="2"/>
      <x/>
    </i>
    <i r="2">
      <x v="1"/>
    </i>
    <i r="2">
      <x v="2"/>
    </i>
    <i t="default" r="1">
      <x v="2"/>
    </i>
    <i r="1">
      <x v="3"/>
      <x/>
    </i>
    <i r="2">
      <x v="1"/>
    </i>
    <i r="2">
      <x v="2"/>
    </i>
    <i t="default" r="1">
      <x v="3"/>
    </i>
    <i t="default">
      <x v="1"/>
    </i>
    <i>
      <x v="2"/>
      <x/>
      <x/>
    </i>
    <i t="default" r="1">
      <x/>
    </i>
    <i r="1">
      <x v="1"/>
      <x v="1"/>
    </i>
    <i t="default" r="1">
      <x v="1"/>
    </i>
    <i r="1">
      <x v="2"/>
      <x/>
    </i>
    <i r="2">
      <x v="1"/>
    </i>
    <i t="default" r="1">
      <x v="2"/>
    </i>
    <i r="1">
      <x v="3"/>
      <x/>
    </i>
    <i r="2">
      <x v="1"/>
    </i>
    <i r="2">
      <x v="2"/>
    </i>
    <i t="default" r="1">
      <x v="3"/>
    </i>
    <i t="default">
      <x v="2"/>
    </i>
    <i t="grand">
      <x/>
    </i>
  </rowItems>
  <colItems count="1">
    <i/>
  </colItems>
  <dataFields count="1">
    <dataField name="Sum of Company Size" fld="9" baseField="0" baseItem="0"/>
  </dataFields>
  <formats count="61">
    <format dxfId="688">
      <pivotArea type="all" dataOnly="0" outline="0" fieldPosition="0"/>
    </format>
    <format dxfId="687">
      <pivotArea outline="0" collapsedLevelsAreSubtotals="1" fieldPosition="0"/>
    </format>
    <format dxfId="686">
      <pivotArea field="0" type="button" dataOnly="0" labelOnly="1" outline="0" axis="axisRow" fieldPosition="0"/>
    </format>
    <format dxfId="685">
      <pivotArea dataOnly="0" labelOnly="1" fieldPosition="0">
        <references count="1">
          <reference field="0" count="0"/>
        </references>
      </pivotArea>
    </format>
    <format dxfId="684">
      <pivotArea dataOnly="0" labelOnly="1" grandRow="1" outline="0" fieldPosition="0"/>
    </format>
    <format dxfId="683">
      <pivotArea dataOnly="0" labelOnly="1" fieldPosition="0">
        <references count="2">
          <reference field="0" count="1" selected="0">
            <x v="0"/>
          </reference>
          <reference field="1" count="1">
            <x v="2"/>
          </reference>
        </references>
      </pivotArea>
    </format>
    <format dxfId="682">
      <pivotArea dataOnly="0" labelOnly="1" fieldPosition="0">
        <references count="2">
          <reference field="0" count="1" selected="0">
            <x v="1"/>
          </reference>
          <reference field="1" count="0"/>
        </references>
      </pivotArea>
    </format>
    <format dxfId="681">
      <pivotArea dataOnly="0" labelOnly="1" fieldPosition="0">
        <references count="2">
          <reference field="0" count="1" selected="0">
            <x v="2"/>
          </reference>
          <reference field="1" count="0"/>
        </references>
      </pivotArea>
    </format>
    <format dxfId="680">
      <pivotArea dataOnly="0" labelOnly="1" fieldPosition="0">
        <references count="3">
          <reference field="0" count="1" selected="0">
            <x v="0"/>
          </reference>
          <reference field="1" count="1" selected="0">
            <x v="2"/>
          </reference>
          <reference field="2" count="1">
            <x v="2"/>
          </reference>
        </references>
      </pivotArea>
    </format>
    <format dxfId="679">
      <pivotArea dataOnly="0" labelOnly="1" fieldPosition="0">
        <references count="3">
          <reference field="0" count="1" selected="0">
            <x v="1"/>
          </reference>
          <reference field="1" count="1" selected="0">
            <x v="0"/>
          </reference>
          <reference field="2" count="0"/>
        </references>
      </pivotArea>
    </format>
    <format dxfId="678">
      <pivotArea dataOnly="0" labelOnly="1" fieldPosition="0">
        <references count="3">
          <reference field="0" count="1" selected="0">
            <x v="1"/>
          </reference>
          <reference field="1" count="1" selected="0">
            <x v="1"/>
          </reference>
          <reference field="2" count="0"/>
        </references>
      </pivotArea>
    </format>
    <format dxfId="677">
      <pivotArea dataOnly="0" labelOnly="1" fieldPosition="0">
        <references count="3">
          <reference field="0" count="1" selected="0">
            <x v="1"/>
          </reference>
          <reference field="1" count="1" selected="0">
            <x v="2"/>
          </reference>
          <reference field="2" count="0"/>
        </references>
      </pivotArea>
    </format>
    <format dxfId="676">
      <pivotArea dataOnly="0" labelOnly="1" fieldPosition="0">
        <references count="3">
          <reference field="0" count="1" selected="0">
            <x v="1"/>
          </reference>
          <reference field="1" count="1" selected="0">
            <x v="3"/>
          </reference>
          <reference field="2" count="0"/>
        </references>
      </pivotArea>
    </format>
    <format dxfId="675">
      <pivotArea dataOnly="0" labelOnly="1" fieldPosition="0">
        <references count="3">
          <reference field="0" count="1" selected="0">
            <x v="2"/>
          </reference>
          <reference field="1" count="1" selected="0">
            <x v="0"/>
          </reference>
          <reference field="2" count="1">
            <x v="0"/>
          </reference>
        </references>
      </pivotArea>
    </format>
    <format dxfId="674">
      <pivotArea dataOnly="0" labelOnly="1" fieldPosition="0">
        <references count="3">
          <reference field="0" count="1" selected="0">
            <x v="2"/>
          </reference>
          <reference field="1" count="1" selected="0">
            <x v="1"/>
          </reference>
          <reference field="2" count="1">
            <x v="1"/>
          </reference>
        </references>
      </pivotArea>
    </format>
    <format dxfId="673">
      <pivotArea dataOnly="0" labelOnly="1" fieldPosition="0">
        <references count="3">
          <reference field="0" count="1" selected="0">
            <x v="2"/>
          </reference>
          <reference field="1" count="1" selected="0">
            <x v="2"/>
          </reference>
          <reference field="2" count="2">
            <x v="0"/>
            <x v="1"/>
          </reference>
        </references>
      </pivotArea>
    </format>
    <format dxfId="672">
      <pivotArea dataOnly="0" labelOnly="1" fieldPosition="0">
        <references count="3">
          <reference field="0" count="1" selected="0">
            <x v="2"/>
          </reference>
          <reference field="1" count="1" selected="0">
            <x v="3"/>
          </reference>
          <reference field="2" count="0"/>
        </references>
      </pivotArea>
    </format>
    <format dxfId="671">
      <pivotArea dataOnly="0" labelOnly="1" outline="0" axis="axisValues" fieldPosition="0"/>
    </format>
    <format dxfId="670">
      <pivotArea type="all" dataOnly="0" outline="0" fieldPosition="0"/>
    </format>
    <format dxfId="669">
      <pivotArea outline="0" collapsedLevelsAreSubtotals="1" fieldPosition="0"/>
    </format>
    <format dxfId="668">
      <pivotArea field="0" type="button" dataOnly="0" labelOnly="1" outline="0" axis="axisRow" fieldPosition="0"/>
    </format>
    <format dxfId="667">
      <pivotArea dataOnly="0" labelOnly="1" fieldPosition="0">
        <references count="1">
          <reference field="0" count="0"/>
        </references>
      </pivotArea>
    </format>
    <format dxfId="666">
      <pivotArea dataOnly="0" labelOnly="1" grandRow="1" outline="0" fieldPosition="0"/>
    </format>
    <format dxfId="665">
      <pivotArea dataOnly="0" labelOnly="1" fieldPosition="0">
        <references count="2">
          <reference field="0" count="1" selected="0">
            <x v="0"/>
          </reference>
          <reference field="1" count="1">
            <x v="2"/>
          </reference>
        </references>
      </pivotArea>
    </format>
    <format dxfId="664">
      <pivotArea dataOnly="0" labelOnly="1" fieldPosition="0">
        <references count="2">
          <reference field="0" count="1" selected="0">
            <x v="1"/>
          </reference>
          <reference field="1" count="0"/>
        </references>
      </pivotArea>
    </format>
    <format dxfId="663">
      <pivotArea dataOnly="0" labelOnly="1" fieldPosition="0">
        <references count="2">
          <reference field="0" count="1" selected="0">
            <x v="2"/>
          </reference>
          <reference field="1" count="0"/>
        </references>
      </pivotArea>
    </format>
    <format dxfId="662">
      <pivotArea dataOnly="0" labelOnly="1" fieldPosition="0">
        <references count="3">
          <reference field="0" count="1" selected="0">
            <x v="0"/>
          </reference>
          <reference field="1" count="1" selected="0">
            <x v="2"/>
          </reference>
          <reference field="2" count="1">
            <x v="2"/>
          </reference>
        </references>
      </pivotArea>
    </format>
    <format dxfId="661">
      <pivotArea dataOnly="0" labelOnly="1" fieldPosition="0">
        <references count="3">
          <reference field="0" count="1" selected="0">
            <x v="1"/>
          </reference>
          <reference field="1" count="1" selected="0">
            <x v="0"/>
          </reference>
          <reference field="2" count="0"/>
        </references>
      </pivotArea>
    </format>
    <format dxfId="660">
      <pivotArea dataOnly="0" labelOnly="1" fieldPosition="0">
        <references count="3">
          <reference field="0" count="1" selected="0">
            <x v="1"/>
          </reference>
          <reference field="1" count="1" selected="0">
            <x v="1"/>
          </reference>
          <reference field="2" count="0"/>
        </references>
      </pivotArea>
    </format>
    <format dxfId="659">
      <pivotArea dataOnly="0" labelOnly="1" fieldPosition="0">
        <references count="3">
          <reference field="0" count="1" selected="0">
            <x v="1"/>
          </reference>
          <reference field="1" count="1" selected="0">
            <x v="2"/>
          </reference>
          <reference field="2" count="0"/>
        </references>
      </pivotArea>
    </format>
    <format dxfId="658">
      <pivotArea dataOnly="0" labelOnly="1" fieldPosition="0">
        <references count="3">
          <reference field="0" count="1" selected="0">
            <x v="1"/>
          </reference>
          <reference field="1" count="1" selected="0">
            <x v="3"/>
          </reference>
          <reference field="2" count="0"/>
        </references>
      </pivotArea>
    </format>
    <format dxfId="657">
      <pivotArea dataOnly="0" labelOnly="1" fieldPosition="0">
        <references count="3">
          <reference field="0" count="1" selected="0">
            <x v="2"/>
          </reference>
          <reference field="1" count="1" selected="0">
            <x v="0"/>
          </reference>
          <reference field="2" count="1">
            <x v="0"/>
          </reference>
        </references>
      </pivotArea>
    </format>
    <format dxfId="656">
      <pivotArea dataOnly="0" labelOnly="1" fieldPosition="0">
        <references count="3">
          <reference field="0" count="1" selected="0">
            <x v="2"/>
          </reference>
          <reference field="1" count="1" selected="0">
            <x v="1"/>
          </reference>
          <reference field="2" count="1">
            <x v="1"/>
          </reference>
        </references>
      </pivotArea>
    </format>
    <format dxfId="655">
      <pivotArea dataOnly="0" labelOnly="1" fieldPosition="0">
        <references count="3">
          <reference field="0" count="1" selected="0">
            <x v="2"/>
          </reference>
          <reference field="1" count="1" selected="0">
            <x v="2"/>
          </reference>
          <reference field="2" count="2">
            <x v="0"/>
            <x v="1"/>
          </reference>
        </references>
      </pivotArea>
    </format>
    <format dxfId="654">
      <pivotArea dataOnly="0" labelOnly="1" fieldPosition="0">
        <references count="3">
          <reference field="0" count="1" selected="0">
            <x v="2"/>
          </reference>
          <reference field="1" count="1" selected="0">
            <x v="3"/>
          </reference>
          <reference field="2" count="0"/>
        </references>
      </pivotArea>
    </format>
    <format dxfId="653">
      <pivotArea dataOnly="0" labelOnly="1" outline="0" axis="axisValues" fieldPosition="0"/>
    </format>
    <format dxfId="548">
      <pivotArea dataOnly="0" labelOnly="1" outline="0" fieldPosition="0">
        <references count="1">
          <reference field="0" count="1">
            <x v="0"/>
          </reference>
        </references>
      </pivotArea>
    </format>
    <format dxfId="547">
      <pivotArea dataOnly="0" labelOnly="1" outline="0" offset="A256" fieldPosition="0">
        <references count="1">
          <reference field="0" count="1" defaultSubtotal="1">
            <x v="0"/>
          </reference>
        </references>
      </pivotArea>
    </format>
    <format dxfId="546">
      <pivotArea dataOnly="0" labelOnly="1" outline="0" fieldPosition="0">
        <references count="1">
          <reference field="0" count="1">
            <x v="1"/>
          </reference>
        </references>
      </pivotArea>
    </format>
    <format dxfId="545">
      <pivotArea dataOnly="0" labelOnly="1" outline="0" offset="A256" fieldPosition="0">
        <references count="1">
          <reference field="0" count="1" defaultSubtotal="1">
            <x v="1"/>
          </reference>
        </references>
      </pivotArea>
    </format>
    <format dxfId="544">
      <pivotArea dataOnly="0" labelOnly="1" outline="0" fieldPosition="0">
        <references count="1">
          <reference field="0" count="1">
            <x v="2"/>
          </reference>
        </references>
      </pivotArea>
    </format>
    <format dxfId="543">
      <pivotArea outline="0" fieldPosition="0">
        <references count="2">
          <reference field="0" count="1" selected="0">
            <x v="1"/>
          </reference>
          <reference field="1" count="1" selected="0" defaultSubtotal="1">
            <x v="1"/>
          </reference>
        </references>
      </pivotArea>
    </format>
    <format dxfId="542">
      <pivotArea dataOnly="0" labelOnly="1" outline="0" fieldPosition="0">
        <references count="2">
          <reference field="0" count="1" selected="0">
            <x v="1"/>
          </reference>
          <reference field="1" count="1" defaultSubtotal="1">
            <x v="1"/>
          </reference>
        </references>
      </pivotArea>
    </format>
    <format dxfId="541">
      <pivotArea outline="0" fieldPosition="0">
        <references count="2">
          <reference field="0" count="1" selected="0">
            <x v="1"/>
          </reference>
          <reference field="1" count="1" selected="0" defaultSubtotal="1">
            <x v="0"/>
          </reference>
        </references>
      </pivotArea>
    </format>
    <format dxfId="540">
      <pivotArea dataOnly="0" labelOnly="1" outline="0" fieldPosition="0">
        <references count="2">
          <reference field="0" count="1" selected="0">
            <x v="1"/>
          </reference>
          <reference field="1" count="1" defaultSubtotal="1">
            <x v="0"/>
          </reference>
        </references>
      </pivotArea>
    </format>
    <format dxfId="539">
      <pivotArea outline="0" fieldPosition="0">
        <references count="1">
          <reference field="0" count="1" selected="0" defaultSubtotal="1">
            <x v="0"/>
          </reference>
        </references>
      </pivotArea>
    </format>
    <format dxfId="538">
      <pivotArea dataOnly="0" labelOnly="1" outline="0" offset="B256:IV256" fieldPosition="0">
        <references count="1">
          <reference field="0" count="1" defaultSubtotal="1">
            <x v="0"/>
          </reference>
        </references>
      </pivotArea>
    </format>
    <format dxfId="537">
      <pivotArea outline="0" fieldPosition="0">
        <references count="2">
          <reference field="0" count="1" selected="0">
            <x v="1"/>
          </reference>
          <reference field="1" count="1" selected="0" defaultSubtotal="1">
            <x v="2"/>
          </reference>
        </references>
      </pivotArea>
    </format>
    <format dxfId="536">
      <pivotArea dataOnly="0" labelOnly="1" outline="0" fieldPosition="0">
        <references count="2">
          <reference field="0" count="1" selected="0">
            <x v="1"/>
          </reference>
          <reference field="1" count="1" defaultSubtotal="1">
            <x v="2"/>
          </reference>
        </references>
      </pivotArea>
    </format>
    <format dxfId="535">
      <pivotArea outline="0" fieldPosition="0">
        <references count="2">
          <reference field="0" count="1" selected="0">
            <x v="1"/>
          </reference>
          <reference field="1" count="1" selected="0" defaultSubtotal="1">
            <x v="3"/>
          </reference>
        </references>
      </pivotArea>
    </format>
    <format dxfId="534">
      <pivotArea dataOnly="0" labelOnly="1" outline="0" fieldPosition="0">
        <references count="2">
          <reference field="0" count="1" selected="0">
            <x v="1"/>
          </reference>
          <reference field="1" count="1" defaultSubtotal="1">
            <x v="3"/>
          </reference>
        </references>
      </pivotArea>
    </format>
    <format dxfId="533">
      <pivotArea outline="0" fieldPosition="0">
        <references count="2">
          <reference field="0" count="1" selected="0">
            <x v="2"/>
          </reference>
          <reference field="1" count="1" selected="0" defaultSubtotal="1">
            <x v="0"/>
          </reference>
        </references>
      </pivotArea>
    </format>
    <format dxfId="532">
      <pivotArea dataOnly="0" labelOnly="1" outline="0" fieldPosition="0">
        <references count="2">
          <reference field="0" count="1" selected="0">
            <x v="2"/>
          </reference>
          <reference field="1" count="1" defaultSubtotal="1">
            <x v="0"/>
          </reference>
        </references>
      </pivotArea>
    </format>
    <format dxfId="531">
      <pivotArea outline="0" fieldPosition="0">
        <references count="2">
          <reference field="0" count="1" selected="0">
            <x v="2"/>
          </reference>
          <reference field="1" count="1" selected="0" defaultSubtotal="1">
            <x v="1"/>
          </reference>
        </references>
      </pivotArea>
    </format>
    <format dxfId="530">
      <pivotArea dataOnly="0" labelOnly="1" outline="0" fieldPosition="0">
        <references count="2">
          <reference field="0" count="1" selected="0">
            <x v="2"/>
          </reference>
          <reference field="1" count="1" defaultSubtotal="1">
            <x v="1"/>
          </reference>
        </references>
      </pivotArea>
    </format>
    <format dxfId="529">
      <pivotArea outline="0" fieldPosition="0">
        <references count="2">
          <reference field="0" count="1" selected="0">
            <x v="2"/>
          </reference>
          <reference field="1" count="1" selected="0" defaultSubtotal="1">
            <x v="2"/>
          </reference>
        </references>
      </pivotArea>
    </format>
    <format dxfId="528">
      <pivotArea dataOnly="0" labelOnly="1" outline="0" fieldPosition="0">
        <references count="2">
          <reference field="0" count="1" selected="0">
            <x v="2"/>
          </reference>
          <reference field="1" count="1" defaultSubtotal="1">
            <x v="2"/>
          </reference>
        </references>
      </pivotArea>
    </format>
    <format dxfId="527">
      <pivotArea outline="0" fieldPosition="0">
        <references count="2">
          <reference field="0" count="1" selected="0">
            <x v="2"/>
          </reference>
          <reference field="1" count="1" selected="0" defaultSubtotal="1">
            <x v="3"/>
          </reference>
        </references>
      </pivotArea>
    </format>
    <format dxfId="526">
      <pivotArea dataOnly="0" labelOnly="1" outline="0" fieldPosition="0">
        <references count="2">
          <reference field="0" count="1" selected="0">
            <x v="2"/>
          </reference>
          <reference field="1" count="1" defaultSubtotal="1">
            <x v="3"/>
          </reference>
        </references>
      </pivotArea>
    </format>
    <format dxfId="525">
      <pivotArea outline="0" fieldPosition="0">
        <references count="1">
          <reference field="0" count="1" selected="0" defaultSubtotal="1">
            <x v="2"/>
          </reference>
        </references>
      </pivotArea>
    </format>
    <format dxfId="524">
      <pivotArea dataOnly="0" labelOnly="1" outline="0" fieldPosition="0">
        <references count="1">
          <reference field="0" count="1" defaultSubtotal="1">
            <x v="2"/>
          </reference>
        </references>
      </pivotArea>
    </format>
  </formats>
  <chartFormats count="21">
    <chartFormat chart="0" format="0" series="1">
      <pivotArea type="data" outline="0" fieldPosition="0">
        <references count="1">
          <reference field="4294967294" count="1" selected="0">
            <x v="0"/>
          </reference>
        </references>
      </pivotArea>
    </chartFormat>
    <chartFormat chart="0" format="1">
      <pivotArea type="data" outline="0" fieldPosition="0">
        <references count="4">
          <reference field="4294967294" count="1" selected="0">
            <x v="0"/>
          </reference>
          <reference field="0" count="1" selected="0">
            <x v="0"/>
          </reference>
          <reference field="1" count="1" selected="0">
            <x v="2"/>
          </reference>
          <reference field="2" count="1" selected="0">
            <x v="2"/>
          </reference>
        </references>
      </pivotArea>
    </chartFormat>
    <chartFormat chart="0" format="2">
      <pivotArea type="data" outline="0" fieldPosition="0">
        <references count="4">
          <reference field="4294967294" count="1" selected="0">
            <x v="0"/>
          </reference>
          <reference field="0" count="1" selected="0">
            <x v="1"/>
          </reference>
          <reference field="1" count="1" selected="0">
            <x v="0"/>
          </reference>
          <reference field="2" count="1" selected="0">
            <x v="0"/>
          </reference>
        </references>
      </pivotArea>
    </chartFormat>
    <chartFormat chart="0" format="3">
      <pivotArea type="data" outline="0" fieldPosition="0">
        <references count="4">
          <reference field="4294967294" count="1" selected="0">
            <x v="0"/>
          </reference>
          <reference field="0" count="1" selected="0">
            <x v="1"/>
          </reference>
          <reference field="1" count="1" selected="0">
            <x v="0"/>
          </reference>
          <reference field="2" count="1" selected="0">
            <x v="1"/>
          </reference>
        </references>
      </pivotArea>
    </chartFormat>
    <chartFormat chart="0" format="4">
      <pivotArea type="data" outline="0" fieldPosition="0">
        <references count="4">
          <reference field="4294967294" count="1" selected="0">
            <x v="0"/>
          </reference>
          <reference field="0" count="1" selected="0">
            <x v="1"/>
          </reference>
          <reference field="1" count="1" selected="0">
            <x v="0"/>
          </reference>
          <reference field="2" count="1" selected="0">
            <x v="2"/>
          </reference>
        </references>
      </pivotArea>
    </chartFormat>
    <chartFormat chart="0" format="5">
      <pivotArea type="data" outline="0" fieldPosition="0">
        <references count="4">
          <reference field="4294967294" count="1" selected="0">
            <x v="0"/>
          </reference>
          <reference field="0" count="1" selected="0">
            <x v="1"/>
          </reference>
          <reference field="1" count="1" selected="0">
            <x v="1"/>
          </reference>
          <reference field="2" count="1" selected="0">
            <x v="0"/>
          </reference>
        </references>
      </pivotArea>
    </chartFormat>
    <chartFormat chart="0" format="6">
      <pivotArea type="data" outline="0" fieldPosition="0">
        <references count="4">
          <reference field="4294967294" count="1" selected="0">
            <x v="0"/>
          </reference>
          <reference field="0" count="1" selected="0">
            <x v="1"/>
          </reference>
          <reference field="1" count="1" selected="0">
            <x v="1"/>
          </reference>
          <reference field="2" count="1" selected="0">
            <x v="1"/>
          </reference>
        </references>
      </pivotArea>
    </chartFormat>
    <chartFormat chart="0" format="7">
      <pivotArea type="data" outline="0" fieldPosition="0">
        <references count="4">
          <reference field="4294967294" count="1" selected="0">
            <x v="0"/>
          </reference>
          <reference field="0" count="1" selected="0">
            <x v="1"/>
          </reference>
          <reference field="1" count="1" selected="0">
            <x v="1"/>
          </reference>
          <reference field="2" count="1" selected="0">
            <x v="2"/>
          </reference>
        </references>
      </pivotArea>
    </chartFormat>
    <chartFormat chart="0" format="8">
      <pivotArea type="data" outline="0" fieldPosition="0">
        <references count="4">
          <reference field="4294967294" count="1" selected="0">
            <x v="0"/>
          </reference>
          <reference field="0" count="1" selected="0">
            <x v="1"/>
          </reference>
          <reference field="1" count="1" selected="0">
            <x v="2"/>
          </reference>
          <reference field="2" count="1" selected="0">
            <x v="0"/>
          </reference>
        </references>
      </pivotArea>
    </chartFormat>
    <chartFormat chart="0" format="9">
      <pivotArea type="data" outline="0" fieldPosition="0">
        <references count="4">
          <reference field="4294967294" count="1" selected="0">
            <x v="0"/>
          </reference>
          <reference field="0" count="1" selected="0">
            <x v="1"/>
          </reference>
          <reference field="1" count="1" selected="0">
            <x v="2"/>
          </reference>
          <reference field="2" count="1" selected="0">
            <x v="1"/>
          </reference>
        </references>
      </pivotArea>
    </chartFormat>
    <chartFormat chart="0" format="10">
      <pivotArea type="data" outline="0" fieldPosition="0">
        <references count="4">
          <reference field="4294967294" count="1" selected="0">
            <x v="0"/>
          </reference>
          <reference field="0" count="1" selected="0">
            <x v="1"/>
          </reference>
          <reference field="1" count="1" selected="0">
            <x v="2"/>
          </reference>
          <reference field="2" count="1" selected="0">
            <x v="2"/>
          </reference>
        </references>
      </pivotArea>
    </chartFormat>
    <chartFormat chart="0" format="11">
      <pivotArea type="data" outline="0" fieldPosition="0">
        <references count="4">
          <reference field="4294967294" count="1" selected="0">
            <x v="0"/>
          </reference>
          <reference field="0" count="1" selected="0">
            <x v="1"/>
          </reference>
          <reference field="1" count="1" selected="0">
            <x v="3"/>
          </reference>
          <reference field="2" count="1" selected="0">
            <x v="0"/>
          </reference>
        </references>
      </pivotArea>
    </chartFormat>
    <chartFormat chart="0" format="12">
      <pivotArea type="data" outline="0" fieldPosition="0">
        <references count="4">
          <reference field="4294967294" count="1" selected="0">
            <x v="0"/>
          </reference>
          <reference field="0" count="1" selected="0">
            <x v="1"/>
          </reference>
          <reference field="1" count="1" selected="0">
            <x v="3"/>
          </reference>
          <reference field="2" count="1" selected="0">
            <x v="1"/>
          </reference>
        </references>
      </pivotArea>
    </chartFormat>
    <chartFormat chart="0" format="13">
      <pivotArea type="data" outline="0" fieldPosition="0">
        <references count="4">
          <reference field="4294967294" count="1" selected="0">
            <x v="0"/>
          </reference>
          <reference field="0" count="1" selected="0">
            <x v="1"/>
          </reference>
          <reference field="1" count="1" selected="0">
            <x v="3"/>
          </reference>
          <reference field="2" count="1" selected="0">
            <x v="2"/>
          </reference>
        </references>
      </pivotArea>
    </chartFormat>
    <chartFormat chart="0" format="14">
      <pivotArea type="data" outline="0" fieldPosition="0">
        <references count="4">
          <reference field="4294967294" count="1" selected="0">
            <x v="0"/>
          </reference>
          <reference field="0" count="1" selected="0">
            <x v="2"/>
          </reference>
          <reference field="1" count="1" selected="0">
            <x v="0"/>
          </reference>
          <reference field="2" count="1" selected="0">
            <x v="0"/>
          </reference>
        </references>
      </pivotArea>
    </chartFormat>
    <chartFormat chart="0" format="15">
      <pivotArea type="data" outline="0" fieldPosition="0">
        <references count="4">
          <reference field="4294967294" count="1" selected="0">
            <x v="0"/>
          </reference>
          <reference field="0" count="1" selected="0">
            <x v="2"/>
          </reference>
          <reference field="1" count="1" selected="0">
            <x v="1"/>
          </reference>
          <reference field="2" count="1" selected="0">
            <x v="1"/>
          </reference>
        </references>
      </pivotArea>
    </chartFormat>
    <chartFormat chart="0" format="16">
      <pivotArea type="data" outline="0" fieldPosition="0">
        <references count="4">
          <reference field="4294967294" count="1" selected="0">
            <x v="0"/>
          </reference>
          <reference field="0" count="1" selected="0">
            <x v="2"/>
          </reference>
          <reference field="1" count="1" selected="0">
            <x v="2"/>
          </reference>
          <reference field="2" count="1" selected="0">
            <x v="0"/>
          </reference>
        </references>
      </pivotArea>
    </chartFormat>
    <chartFormat chart="0" format="17">
      <pivotArea type="data" outline="0" fieldPosition="0">
        <references count="4">
          <reference field="4294967294" count="1" selected="0">
            <x v="0"/>
          </reference>
          <reference field="0" count="1" selected="0">
            <x v="2"/>
          </reference>
          <reference field="1" count="1" selected="0">
            <x v="2"/>
          </reference>
          <reference field="2" count="1" selected="0">
            <x v="1"/>
          </reference>
        </references>
      </pivotArea>
    </chartFormat>
    <chartFormat chart="0" format="18">
      <pivotArea type="data" outline="0" fieldPosition="0">
        <references count="4">
          <reference field="4294967294" count="1" selected="0">
            <x v="0"/>
          </reference>
          <reference field="0" count="1" selected="0">
            <x v="2"/>
          </reference>
          <reference field="1" count="1" selected="0">
            <x v="3"/>
          </reference>
          <reference field="2" count="1" selected="0">
            <x v="0"/>
          </reference>
        </references>
      </pivotArea>
    </chartFormat>
    <chartFormat chart="0" format="19">
      <pivotArea type="data" outline="0" fieldPosition="0">
        <references count="4">
          <reference field="4294967294" count="1" selected="0">
            <x v="0"/>
          </reference>
          <reference field="0" count="1" selected="0">
            <x v="2"/>
          </reference>
          <reference field="1" count="1" selected="0">
            <x v="3"/>
          </reference>
          <reference field="2" count="1" selected="0">
            <x v="1"/>
          </reference>
        </references>
      </pivotArea>
    </chartFormat>
    <chartFormat chart="0" format="20">
      <pivotArea type="data" outline="0" fieldPosition="0">
        <references count="4">
          <reference field="4294967294" count="1" selected="0">
            <x v="0"/>
          </reference>
          <reference field="0" count="1" selected="0">
            <x v="2"/>
          </reference>
          <reference field="1" count="1" selected="0">
            <x v="3"/>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1" xr10:uid="{47D5356B-5192-4705-91ED-33AE0A9D5EF3}" sourceName="Job Title">
  <pivotTables>
    <pivotTable tabId="2" name="PivotTable3"/>
  </pivotTables>
  <data>
    <tabular pivotCacheId="2037674402">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iority_Level" xr10:uid="{C95F0FBC-CCDC-4211-B28A-C96BBA250DFB}" sourceName="Seniority Level">
  <pivotTables>
    <pivotTable tabId="2" name="PivotTable3"/>
  </pivotTables>
  <data>
    <tabular pivotCacheId="2037674402">
      <items count="4">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3A0D041E-5CD2-45CE-8D3D-FE278766FF5E}" sourceName="Status">
  <pivotTables>
    <pivotTable tabId="2" name="PivotTable3"/>
  </pivotTables>
  <data>
    <tabular pivotCacheId="2037674402">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6E1F8DB2-6254-474B-B844-53353B65B355}" sourceName="Job Title">
  <extLst>
    <x:ext xmlns:x15="http://schemas.microsoft.com/office/spreadsheetml/2010/11/main" uri="{2F2917AC-EB37-4324-AD4E-5DD8C200BD13}">
      <x15:tableSlicerCache tableId="1" column="1"/>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CBA6A81F-3D5B-4D01-A500-E67522AE86E2}" sourceName="Industry">
  <extLst>
    <x:ext xmlns:x15="http://schemas.microsoft.com/office/spreadsheetml/2010/11/main" uri="{2F2917AC-EB37-4324-AD4E-5DD8C200BD13}">
      <x15:tableSlicerCache tableId="1" column="8"/>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Title" xr10:uid="{B7217686-4B4E-424C-BCBE-DA0A9FC17144}" cache="Slicer_Job_Title" caption="Job Title" rowHeight="251883"/>
  <slicer name="Industry" xr10:uid="{472884E2-FC3C-400F-BC50-2F06AE15435E}" cache="Slicer_Industry" caption="Industry"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Title 1" xr10:uid="{B7656FE8-E667-4078-9903-444F5BDC2B33}" cache="Slicer_Job_Title1" caption="Job Title" rowHeight="251883"/>
  <slicer name="Seniority Level" xr10:uid="{9C6B15DC-D053-4ACC-8E22-15D0AE7A7955}" cache="Slicer_Seniority_Level" caption="Seniority Level" rowHeight="251883"/>
  <slicer name="Status" xr10:uid="{DFE6FFB2-546A-4D36-84F3-7E3D287180F7}" cache="Slicer_Status" caption="Status"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CC9809-2531-4119-93BF-E15BA921609F}" name="Table1" displayName="Table1" ref="A2:K511" totalsRowShown="0" headerRowDxfId="704" dataDxfId="702" headerRowBorderDxfId="703" tableBorderDxfId="701" totalsRowBorderDxfId="700">
  <autoFilter ref="A2:K511" xr:uid="{44CC9809-2531-4119-93BF-E15BA921609F}">
    <filterColumn colId="0" hiddenButton="1">
      <filters>
        <filter val="Data Scientist"/>
      </filters>
    </filterColumn>
    <filterColumn colId="1" hiddenButton="1"/>
    <filterColumn colId="2" hiddenButton="1"/>
    <filterColumn colId="3" hiddenButton="1"/>
    <filterColumn colId="4" hiddenButton="1"/>
    <filterColumn colId="5" hiddenButton="1"/>
    <filterColumn colId="6" hiddenButton="1"/>
    <filterColumn colId="7" hiddenButton="1">
      <filters>
        <filter val="Finance"/>
      </filters>
    </filterColumn>
    <filterColumn colId="8" hiddenButton="1"/>
    <filterColumn colId="9" hiddenButton="1"/>
    <filterColumn colId="10" hiddenButton="1"/>
  </autoFilter>
  <tableColumns count="11">
    <tableColumn id="1" xr3:uid="{89344A9F-FD1D-4539-8BAB-142197443E16}" name="Job Title" dataDxfId="699"/>
    <tableColumn id="2" xr3:uid="{54B07F37-745A-45D0-AF06-186D4D6CAA1B}" name="Seniority Level" dataDxfId="698"/>
    <tableColumn id="3" xr3:uid="{98EF2B9C-98EB-44CA-AEBD-EAE3977CC173}" name="Status" dataDxfId="697"/>
    <tableColumn id="4" xr3:uid="{A7343B76-4B96-404A-A1A4-D82813335166}" name="Company" dataDxfId="696"/>
    <tableColumn id="5" xr3:uid="{8631D0C2-5B7D-41F2-8A86-83DEEB8CEA13}" name="Location" dataDxfId="695"/>
    <tableColumn id="6" xr3:uid="{060C3841-4AB7-4CB0-AD4F-646EAEBB7585}" name="Post Date" dataDxfId="694"/>
    <tableColumn id="7" xr3:uid="{45852761-3EA1-43FA-980A-E96513C0E131}" name="Headquarter" dataDxfId="693"/>
    <tableColumn id="8" xr3:uid="{22B8376C-FF6D-4A92-A318-0D87E68D2C09}" name="Industry" dataDxfId="692"/>
    <tableColumn id="9" xr3:uid="{64C0B691-0902-4F10-8476-6D6197C427D5}" name="Ownership" dataDxfId="691"/>
    <tableColumn id="10" xr3:uid="{726DF9B8-8169-498A-96CD-183F63560048}" name="Company Size" dataDxfId="690"/>
    <tableColumn id="11" xr3:uid="{279EB915-A961-448C-AC42-803C37BBDAEF}" name="Skills" dataDxfId="689"/>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00758-BCE6-40D3-A94A-D78D1F114BDC}">
  <dimension ref="A1:K512"/>
  <sheetViews>
    <sheetView zoomScale="59" workbookViewId="0">
      <selection activeCell="P14" sqref="P14"/>
    </sheetView>
  </sheetViews>
  <sheetFormatPr defaultRowHeight="14.5" x14ac:dyDescent="0.35"/>
  <cols>
    <col min="1" max="1" width="27.36328125" bestFit="1" customWidth="1"/>
    <col min="2" max="2" width="20.453125" customWidth="1"/>
    <col min="3" max="3" width="10.54296875" customWidth="1"/>
    <col min="4" max="4" width="14.36328125" customWidth="1"/>
    <col min="5" max="5" width="141" bestFit="1" customWidth="1"/>
    <col min="6" max="6" width="14.36328125" customWidth="1"/>
    <col min="7" max="7" width="23.90625" bestFit="1" customWidth="1"/>
    <col min="8" max="8" width="12.81640625" customWidth="1"/>
    <col min="9" max="9" width="15.90625" customWidth="1"/>
    <col min="10" max="10" width="19.81640625" customWidth="1"/>
    <col min="11" max="11" width="142.26953125" bestFit="1" customWidth="1"/>
  </cols>
  <sheetData>
    <row r="1" spans="1:11" ht="47" customHeight="1" thickTop="1" thickBot="1" x14ac:dyDescent="0.4">
      <c r="A1" s="14" t="s">
        <v>1164</v>
      </c>
      <c r="B1" s="14"/>
      <c r="C1" s="14"/>
      <c r="D1" s="14"/>
      <c r="E1" s="14"/>
      <c r="F1" s="14"/>
      <c r="G1" s="14"/>
      <c r="H1" s="14"/>
      <c r="I1" s="14"/>
      <c r="J1" s="14"/>
      <c r="K1" s="14"/>
    </row>
    <row r="2" spans="1:11" ht="28.5" customHeight="1" thickTop="1" thickBot="1" x14ac:dyDescent="0.4">
      <c r="A2" s="6" t="s">
        <v>0</v>
      </c>
      <c r="B2" s="7" t="s">
        <v>1</v>
      </c>
      <c r="C2" s="7" t="s">
        <v>2</v>
      </c>
      <c r="D2" s="7" t="s">
        <v>3</v>
      </c>
      <c r="E2" s="7" t="s">
        <v>4</v>
      </c>
      <c r="F2" s="7" t="s">
        <v>5</v>
      </c>
      <c r="G2" s="7" t="s">
        <v>6</v>
      </c>
      <c r="H2" s="7" t="s">
        <v>7</v>
      </c>
      <c r="I2" s="7" t="s">
        <v>8</v>
      </c>
      <c r="J2" s="7" t="s">
        <v>9</v>
      </c>
      <c r="K2" s="8" t="s">
        <v>10</v>
      </c>
    </row>
    <row r="3" spans="1:11" ht="15.5" hidden="1" thickTop="1" thickBot="1" x14ac:dyDescent="0.4">
      <c r="A3" s="4" t="s">
        <v>11</v>
      </c>
      <c r="B3" s="2" t="s">
        <v>12</v>
      </c>
      <c r="C3" s="2" t="s">
        <v>13</v>
      </c>
      <c r="D3" s="2" t="s">
        <v>14</v>
      </c>
      <c r="E3" s="2" t="s">
        <v>15</v>
      </c>
      <c r="F3" s="2" t="s">
        <v>16</v>
      </c>
      <c r="G3" s="2" t="s">
        <v>17</v>
      </c>
      <c r="H3" s="2" t="s">
        <v>18</v>
      </c>
      <c r="I3" s="2" t="s">
        <v>19</v>
      </c>
      <c r="J3" s="2">
        <v>35244</v>
      </c>
      <c r="K3" s="5" t="s">
        <v>20</v>
      </c>
    </row>
    <row r="4" spans="1:11" ht="15.5" hidden="1" thickTop="1" thickBot="1" x14ac:dyDescent="0.4">
      <c r="A4" s="4" t="s">
        <v>11</v>
      </c>
      <c r="B4" s="2" t="s">
        <v>21</v>
      </c>
      <c r="C4" s="2" t="s">
        <v>13</v>
      </c>
      <c r="D4" s="2" t="s">
        <v>22</v>
      </c>
      <c r="E4" s="2" t="s">
        <v>23</v>
      </c>
      <c r="F4" s="2" t="s">
        <v>24</v>
      </c>
      <c r="G4" s="2" t="s">
        <v>25</v>
      </c>
      <c r="H4" s="2" t="s">
        <v>26</v>
      </c>
      <c r="I4" s="2" t="s">
        <v>19</v>
      </c>
      <c r="J4" s="3">
        <v>155030</v>
      </c>
      <c r="K4" s="5" t="s">
        <v>27</v>
      </c>
    </row>
    <row r="5" spans="1:11" ht="15.5" hidden="1" thickTop="1" thickBot="1" x14ac:dyDescent="0.4">
      <c r="A5" s="4" t="s">
        <v>11</v>
      </c>
      <c r="B5" s="2" t="s">
        <v>12</v>
      </c>
      <c r="C5" s="2" t="s">
        <v>28</v>
      </c>
      <c r="D5" s="2" t="s">
        <v>29</v>
      </c>
      <c r="E5" s="2" t="s">
        <v>30</v>
      </c>
      <c r="F5" s="2" t="s">
        <v>31</v>
      </c>
      <c r="G5" s="2" t="s">
        <v>32</v>
      </c>
      <c r="H5" s="2" t="s">
        <v>33</v>
      </c>
      <c r="I5" s="2" t="s">
        <v>19</v>
      </c>
      <c r="J5" s="3">
        <v>25930</v>
      </c>
      <c r="K5" s="5" t="s">
        <v>34</v>
      </c>
    </row>
    <row r="6" spans="1:11" ht="15.5" hidden="1" thickTop="1" thickBot="1" x14ac:dyDescent="0.4">
      <c r="A6" s="4" t="s">
        <v>11</v>
      </c>
      <c r="B6" s="2" t="s">
        <v>12</v>
      </c>
      <c r="C6" s="2" t="s">
        <v>13</v>
      </c>
      <c r="D6" s="2" t="s">
        <v>35</v>
      </c>
      <c r="E6" s="2" t="s">
        <v>36</v>
      </c>
      <c r="F6" s="2" t="s">
        <v>37</v>
      </c>
      <c r="G6" s="2" t="s">
        <v>38</v>
      </c>
      <c r="H6" s="2" t="s">
        <v>33</v>
      </c>
      <c r="I6" s="2" t="s">
        <v>19</v>
      </c>
      <c r="J6" s="3">
        <v>34690</v>
      </c>
      <c r="K6" s="5" t="s">
        <v>39</v>
      </c>
    </row>
    <row r="7" spans="1:11" ht="15.5" thickTop="1" thickBot="1" x14ac:dyDescent="0.4">
      <c r="A7" s="4" t="s">
        <v>11</v>
      </c>
      <c r="B7" s="2" t="s">
        <v>12</v>
      </c>
      <c r="C7" s="2" t="s">
        <v>28</v>
      </c>
      <c r="D7" s="2" t="s">
        <v>40</v>
      </c>
      <c r="E7" s="2" t="s">
        <v>41</v>
      </c>
      <c r="F7" s="2" t="s">
        <v>42</v>
      </c>
      <c r="G7" s="2" t="s">
        <v>43</v>
      </c>
      <c r="H7" s="2" t="s">
        <v>44</v>
      </c>
      <c r="I7" s="2" t="s">
        <v>45</v>
      </c>
      <c r="J7" s="3">
        <v>1800</v>
      </c>
      <c r="K7" s="5" t="s">
        <v>46</v>
      </c>
    </row>
    <row r="8" spans="1:11" ht="15.5" hidden="1" thickTop="1" thickBot="1" x14ac:dyDescent="0.4">
      <c r="A8" s="4" t="s">
        <v>11</v>
      </c>
      <c r="B8" s="2" t="s">
        <v>21</v>
      </c>
      <c r="C8" s="2" t="s">
        <v>13</v>
      </c>
      <c r="D8" s="2" t="s">
        <v>47</v>
      </c>
      <c r="E8" s="2" t="s">
        <v>48</v>
      </c>
      <c r="F8" s="2" t="s">
        <v>49</v>
      </c>
      <c r="G8" s="2" t="s">
        <v>50</v>
      </c>
      <c r="H8" s="2" t="s">
        <v>33</v>
      </c>
      <c r="I8" s="2" t="s">
        <v>45</v>
      </c>
      <c r="J8" s="2">
        <v>150</v>
      </c>
      <c r="K8" s="5" t="s">
        <v>51</v>
      </c>
    </row>
    <row r="9" spans="1:11" ht="15.5" hidden="1" thickTop="1" thickBot="1" x14ac:dyDescent="0.4">
      <c r="A9" s="4" t="s">
        <v>11</v>
      </c>
      <c r="B9" s="2" t="s">
        <v>52</v>
      </c>
      <c r="C9" s="2" t="s">
        <v>13</v>
      </c>
      <c r="D9" s="2" t="s">
        <v>53</v>
      </c>
      <c r="E9" s="2" t="s">
        <v>54</v>
      </c>
      <c r="F9" s="2" t="s">
        <v>24</v>
      </c>
      <c r="G9" s="2" t="s">
        <v>55</v>
      </c>
      <c r="H9" s="2" t="s">
        <v>56</v>
      </c>
      <c r="I9" s="2" t="s">
        <v>19</v>
      </c>
      <c r="J9" s="3">
        <v>17471</v>
      </c>
      <c r="K9" s="5" t="s">
        <v>46</v>
      </c>
    </row>
    <row r="10" spans="1:11" ht="15.5" hidden="1" thickTop="1" thickBot="1" x14ac:dyDescent="0.4">
      <c r="A10" s="4" t="s">
        <v>57</v>
      </c>
      <c r="B10" s="2" t="s">
        <v>12</v>
      </c>
      <c r="C10" s="2" t="s">
        <v>28</v>
      </c>
      <c r="D10" s="2" t="s">
        <v>58</v>
      </c>
      <c r="E10" s="2" t="s">
        <v>59</v>
      </c>
      <c r="F10" s="2" t="s">
        <v>60</v>
      </c>
      <c r="G10" s="2" t="s">
        <v>61</v>
      </c>
      <c r="H10" s="2" t="s">
        <v>33</v>
      </c>
      <c r="I10" s="2" t="s">
        <v>19</v>
      </c>
      <c r="J10" s="2">
        <v>900</v>
      </c>
      <c r="K10" s="5" t="s">
        <v>62</v>
      </c>
    </row>
    <row r="11" spans="1:11" ht="15.5" hidden="1" thickTop="1" thickBot="1" x14ac:dyDescent="0.4">
      <c r="A11" s="4" t="s">
        <v>11</v>
      </c>
      <c r="B11" s="2" t="s">
        <v>12</v>
      </c>
      <c r="C11" s="2" t="s">
        <v>63</v>
      </c>
      <c r="D11" s="2" t="s">
        <v>64</v>
      </c>
      <c r="E11" s="2" t="s">
        <v>65</v>
      </c>
      <c r="F11" s="2" t="s">
        <v>66</v>
      </c>
      <c r="G11" s="2" t="s">
        <v>67</v>
      </c>
      <c r="H11" s="2" t="s">
        <v>33</v>
      </c>
      <c r="I11" s="2" t="s">
        <v>45</v>
      </c>
      <c r="J11" s="2">
        <v>126</v>
      </c>
      <c r="K11" s="5" t="s">
        <v>46</v>
      </c>
    </row>
    <row r="12" spans="1:11" ht="15.5" hidden="1" thickTop="1" thickBot="1" x14ac:dyDescent="0.4">
      <c r="A12" s="4" t="s">
        <v>11</v>
      </c>
      <c r="B12" s="2" t="s">
        <v>12</v>
      </c>
      <c r="C12" s="2" t="s">
        <v>28</v>
      </c>
      <c r="D12" s="2" t="s">
        <v>68</v>
      </c>
      <c r="E12" s="2" t="s">
        <v>41</v>
      </c>
      <c r="F12" s="2" t="s">
        <v>69</v>
      </c>
      <c r="G12" s="2" t="s">
        <v>70</v>
      </c>
      <c r="H12" s="2" t="s">
        <v>33</v>
      </c>
      <c r="I12" s="2" t="s">
        <v>19</v>
      </c>
      <c r="J12" s="3">
        <v>5520</v>
      </c>
      <c r="K12" s="5" t="s">
        <v>46</v>
      </c>
    </row>
    <row r="13" spans="1:11" ht="15.5" hidden="1" thickTop="1" thickBot="1" x14ac:dyDescent="0.4">
      <c r="A13" s="4" t="s">
        <v>11</v>
      </c>
      <c r="B13" s="2" t="s">
        <v>12</v>
      </c>
      <c r="C13" s="2" t="s">
        <v>13</v>
      </c>
      <c r="D13" s="2" t="s">
        <v>71</v>
      </c>
      <c r="E13" s="2" t="s">
        <v>72</v>
      </c>
      <c r="F13" s="2" t="s">
        <v>24</v>
      </c>
      <c r="G13" s="2" t="s">
        <v>73</v>
      </c>
      <c r="H13" s="2" t="s">
        <v>33</v>
      </c>
      <c r="I13" s="2" t="s">
        <v>19</v>
      </c>
      <c r="J13" s="3">
        <v>103010</v>
      </c>
      <c r="K13" s="5" t="s">
        <v>74</v>
      </c>
    </row>
    <row r="14" spans="1:11" ht="15.5" hidden="1" thickTop="1" thickBot="1" x14ac:dyDescent="0.4">
      <c r="A14" s="4" t="s">
        <v>11</v>
      </c>
      <c r="B14" s="2" t="s">
        <v>75</v>
      </c>
      <c r="C14" s="2" t="s">
        <v>13</v>
      </c>
      <c r="D14" s="2" t="s">
        <v>76</v>
      </c>
      <c r="E14" s="2" t="s">
        <v>77</v>
      </c>
      <c r="F14" s="2" t="s">
        <v>66</v>
      </c>
      <c r="G14" s="2" t="s">
        <v>78</v>
      </c>
      <c r="H14" s="2" t="s">
        <v>56</v>
      </c>
      <c r="I14" s="2" t="s">
        <v>19</v>
      </c>
      <c r="J14" s="2">
        <v>240</v>
      </c>
      <c r="K14" s="5" t="s">
        <v>79</v>
      </c>
    </row>
    <row r="15" spans="1:11" ht="15.5" hidden="1" thickTop="1" thickBot="1" x14ac:dyDescent="0.4">
      <c r="A15" s="4" t="s">
        <v>11</v>
      </c>
      <c r="B15" s="2" t="s">
        <v>12</v>
      </c>
      <c r="C15" s="2" t="s">
        <v>63</v>
      </c>
      <c r="D15" s="2" t="s">
        <v>80</v>
      </c>
      <c r="E15" s="2" t="s">
        <v>81</v>
      </c>
      <c r="F15" s="2" t="s">
        <v>37</v>
      </c>
      <c r="G15" s="2" t="s">
        <v>82</v>
      </c>
      <c r="H15" s="2" t="s">
        <v>26</v>
      </c>
      <c r="I15" s="2" t="s">
        <v>19</v>
      </c>
      <c r="J15" s="3">
        <v>21030</v>
      </c>
      <c r="K15" s="5" t="s">
        <v>83</v>
      </c>
    </row>
    <row r="16" spans="1:11" ht="15.5" hidden="1" thickTop="1" thickBot="1" x14ac:dyDescent="0.4">
      <c r="A16" s="4" t="s">
        <v>11</v>
      </c>
      <c r="B16" s="2" t="s">
        <v>12</v>
      </c>
      <c r="C16" s="2" t="s">
        <v>28</v>
      </c>
      <c r="D16" s="2" t="s">
        <v>84</v>
      </c>
      <c r="E16" s="2" t="s">
        <v>85</v>
      </c>
      <c r="F16" s="2" t="s">
        <v>86</v>
      </c>
      <c r="G16" s="2" t="s">
        <v>87</v>
      </c>
      <c r="H16" s="2" t="s">
        <v>88</v>
      </c>
      <c r="I16" s="2" t="s">
        <v>19</v>
      </c>
      <c r="J16" s="3">
        <v>128890</v>
      </c>
      <c r="K16" s="5" t="s">
        <v>89</v>
      </c>
    </row>
    <row r="17" spans="1:11" ht="15.5" hidden="1" thickTop="1" thickBot="1" x14ac:dyDescent="0.4">
      <c r="A17" s="4" t="s">
        <v>11</v>
      </c>
      <c r="B17" s="2" t="s">
        <v>12</v>
      </c>
      <c r="C17" s="2" t="s">
        <v>28</v>
      </c>
      <c r="D17" s="2" t="s">
        <v>90</v>
      </c>
      <c r="E17" s="2" t="s">
        <v>91</v>
      </c>
      <c r="F17" s="2" t="s">
        <v>31</v>
      </c>
      <c r="G17" s="2" t="s">
        <v>92</v>
      </c>
      <c r="H17" s="2" t="s">
        <v>33</v>
      </c>
      <c r="I17" s="2" t="s">
        <v>45</v>
      </c>
      <c r="J17" s="2">
        <v>45</v>
      </c>
      <c r="K17" s="5" t="s">
        <v>93</v>
      </c>
    </row>
    <row r="18" spans="1:11" ht="15.5" thickTop="1" thickBot="1" x14ac:dyDescent="0.4">
      <c r="A18" s="4" t="s">
        <v>11</v>
      </c>
      <c r="B18" s="2" t="s">
        <v>12</v>
      </c>
      <c r="C18" s="2" t="s">
        <v>63</v>
      </c>
      <c r="D18" s="2" t="s">
        <v>94</v>
      </c>
      <c r="E18" s="2" t="s">
        <v>65</v>
      </c>
      <c r="F18" s="2" t="s">
        <v>95</v>
      </c>
      <c r="G18" s="2" t="s">
        <v>70</v>
      </c>
      <c r="H18" s="2" t="s">
        <v>44</v>
      </c>
      <c r="I18" s="2" t="s">
        <v>45</v>
      </c>
      <c r="J18" s="2">
        <v>300</v>
      </c>
      <c r="K18" s="5" t="s">
        <v>46</v>
      </c>
    </row>
    <row r="19" spans="1:11" ht="15.5" hidden="1" thickTop="1" thickBot="1" x14ac:dyDescent="0.4">
      <c r="A19" s="4" t="s">
        <v>11</v>
      </c>
      <c r="B19" s="2" t="s">
        <v>21</v>
      </c>
      <c r="C19" s="2" t="s">
        <v>13</v>
      </c>
      <c r="D19" s="2" t="s">
        <v>96</v>
      </c>
      <c r="E19" s="2" t="s">
        <v>97</v>
      </c>
      <c r="F19" s="2" t="s">
        <v>66</v>
      </c>
      <c r="G19" s="2" t="s">
        <v>98</v>
      </c>
      <c r="H19" s="2" t="s">
        <v>33</v>
      </c>
      <c r="I19" s="2" t="s">
        <v>19</v>
      </c>
      <c r="J19" s="3">
        <v>132000</v>
      </c>
      <c r="K19" s="5" t="s">
        <v>99</v>
      </c>
    </row>
    <row r="20" spans="1:11" ht="15.5" thickTop="1" thickBot="1" x14ac:dyDescent="0.4">
      <c r="A20" s="4" t="s">
        <v>11</v>
      </c>
      <c r="B20" s="2" t="s">
        <v>21</v>
      </c>
      <c r="C20" s="2" t="s">
        <v>28</v>
      </c>
      <c r="D20" s="2" t="s">
        <v>100</v>
      </c>
      <c r="E20" s="2" t="s">
        <v>101</v>
      </c>
      <c r="F20" s="2" t="s">
        <v>37</v>
      </c>
      <c r="G20" s="2" t="s">
        <v>70</v>
      </c>
      <c r="H20" s="2" t="s">
        <v>44</v>
      </c>
      <c r="I20" s="2" t="s">
        <v>19</v>
      </c>
      <c r="J20" s="3">
        <v>257150</v>
      </c>
      <c r="K20" s="5" t="s">
        <v>102</v>
      </c>
    </row>
    <row r="21" spans="1:11" ht="15.5" hidden="1" thickTop="1" thickBot="1" x14ac:dyDescent="0.4">
      <c r="A21" s="4" t="s">
        <v>11</v>
      </c>
      <c r="B21" s="2" t="s">
        <v>12</v>
      </c>
      <c r="C21" s="2" t="s">
        <v>63</v>
      </c>
      <c r="D21" s="2" t="s">
        <v>103</v>
      </c>
      <c r="E21" s="2" t="s">
        <v>65</v>
      </c>
      <c r="F21" s="2" t="s">
        <v>104</v>
      </c>
      <c r="G21" s="2" t="s">
        <v>70</v>
      </c>
      <c r="H21" s="2" t="s">
        <v>56</v>
      </c>
      <c r="I21" s="2" t="s">
        <v>45</v>
      </c>
      <c r="J21" s="2">
        <v>130</v>
      </c>
      <c r="K21" s="5" t="s">
        <v>46</v>
      </c>
    </row>
    <row r="22" spans="1:11" ht="15.5" hidden="1" thickTop="1" thickBot="1" x14ac:dyDescent="0.4">
      <c r="A22" s="4" t="s">
        <v>57</v>
      </c>
      <c r="B22" s="2" t="s">
        <v>52</v>
      </c>
      <c r="C22" s="2" t="s">
        <v>13</v>
      </c>
      <c r="D22" s="2" t="s">
        <v>105</v>
      </c>
      <c r="E22" s="2" t="s">
        <v>106</v>
      </c>
      <c r="F22" s="2" t="s">
        <v>86</v>
      </c>
      <c r="G22" s="2" t="s">
        <v>107</v>
      </c>
      <c r="H22" s="2" t="s">
        <v>88</v>
      </c>
      <c r="I22" s="2" t="s">
        <v>19</v>
      </c>
      <c r="J22" s="3">
        <v>93580</v>
      </c>
      <c r="K22" s="5" t="s">
        <v>108</v>
      </c>
    </row>
    <row r="23" spans="1:11" ht="15.5" thickTop="1" thickBot="1" x14ac:dyDescent="0.4">
      <c r="A23" s="4" t="s">
        <v>11</v>
      </c>
      <c r="B23" s="2" t="s">
        <v>12</v>
      </c>
      <c r="C23" s="2" t="s">
        <v>28</v>
      </c>
      <c r="D23" s="2" t="s">
        <v>109</v>
      </c>
      <c r="E23" s="2" t="s">
        <v>110</v>
      </c>
      <c r="F23" s="2" t="s">
        <v>37</v>
      </c>
      <c r="G23" s="2" t="s">
        <v>111</v>
      </c>
      <c r="H23" s="2" t="s">
        <v>44</v>
      </c>
      <c r="I23" s="2" t="s">
        <v>19</v>
      </c>
      <c r="J23" s="3">
        <v>44010</v>
      </c>
      <c r="K23" s="5" t="s">
        <v>112</v>
      </c>
    </row>
    <row r="24" spans="1:11" ht="15.5" hidden="1" thickTop="1" thickBot="1" x14ac:dyDescent="0.4">
      <c r="A24" s="4" t="s">
        <v>11</v>
      </c>
      <c r="B24" s="2" t="s">
        <v>12</v>
      </c>
      <c r="C24" s="2" t="s">
        <v>28</v>
      </c>
      <c r="D24" s="2" t="s">
        <v>113</v>
      </c>
      <c r="E24" s="2" t="s">
        <v>114</v>
      </c>
      <c r="F24" s="2" t="s">
        <v>37</v>
      </c>
      <c r="G24" s="2" t="s">
        <v>115</v>
      </c>
      <c r="H24" s="2" t="s">
        <v>116</v>
      </c>
      <c r="I24" s="2" t="s">
        <v>19</v>
      </c>
      <c r="J24" s="3">
        <v>11610</v>
      </c>
      <c r="K24" s="5" t="s">
        <v>117</v>
      </c>
    </row>
    <row r="25" spans="1:11" ht="15.5" hidden="1" thickTop="1" thickBot="1" x14ac:dyDescent="0.4">
      <c r="A25" s="4" t="s">
        <v>11</v>
      </c>
      <c r="B25" s="2" t="s">
        <v>12</v>
      </c>
      <c r="C25" s="2" t="s">
        <v>28</v>
      </c>
      <c r="D25" s="2" t="s">
        <v>118</v>
      </c>
      <c r="E25" s="2" t="s">
        <v>119</v>
      </c>
      <c r="F25" s="2" t="s">
        <v>66</v>
      </c>
      <c r="G25" s="2" t="s">
        <v>111</v>
      </c>
      <c r="H25" s="2" t="s">
        <v>33</v>
      </c>
      <c r="I25" s="2" t="s">
        <v>45</v>
      </c>
      <c r="J25" s="2">
        <v>300</v>
      </c>
      <c r="K25" s="5" t="s">
        <v>120</v>
      </c>
    </row>
    <row r="26" spans="1:11" ht="15.5" hidden="1" thickTop="1" thickBot="1" x14ac:dyDescent="0.4">
      <c r="A26" s="4" t="s">
        <v>11</v>
      </c>
      <c r="B26" s="2" t="s">
        <v>12</v>
      </c>
      <c r="C26" s="2" t="s">
        <v>13</v>
      </c>
      <c r="D26" s="2" t="s">
        <v>121</v>
      </c>
      <c r="E26" s="2" t="s">
        <v>122</v>
      </c>
      <c r="F26" s="2" t="s">
        <v>49</v>
      </c>
      <c r="G26" s="2" t="s">
        <v>70</v>
      </c>
      <c r="H26" s="2" t="s">
        <v>33</v>
      </c>
      <c r="I26" s="2" t="s">
        <v>45</v>
      </c>
      <c r="J26" s="2">
        <v>100</v>
      </c>
      <c r="K26" s="5" t="s">
        <v>46</v>
      </c>
    </row>
    <row r="27" spans="1:11" ht="15.5" hidden="1" thickTop="1" thickBot="1" x14ac:dyDescent="0.4">
      <c r="A27" s="4" t="s">
        <v>11</v>
      </c>
      <c r="B27" s="2" t="s">
        <v>21</v>
      </c>
      <c r="C27" s="2" t="s">
        <v>13</v>
      </c>
      <c r="D27" s="2" t="s">
        <v>123</v>
      </c>
      <c r="E27" s="2" t="s">
        <v>97</v>
      </c>
      <c r="F27" s="2" t="s">
        <v>31</v>
      </c>
      <c r="G27" s="2" t="s">
        <v>124</v>
      </c>
      <c r="H27" s="2" t="s">
        <v>33</v>
      </c>
      <c r="I27" s="2" t="s">
        <v>19</v>
      </c>
      <c r="J27" s="3">
        <v>222070</v>
      </c>
      <c r="K27" s="5" t="s">
        <v>125</v>
      </c>
    </row>
    <row r="28" spans="1:11" ht="15.5" hidden="1" thickTop="1" thickBot="1" x14ac:dyDescent="0.4">
      <c r="A28" s="4" t="s">
        <v>11</v>
      </c>
      <c r="B28" s="2" t="s">
        <v>12</v>
      </c>
      <c r="C28" s="2" t="s">
        <v>63</v>
      </c>
      <c r="D28" s="2" t="s">
        <v>126</v>
      </c>
      <c r="E28" s="2" t="s">
        <v>127</v>
      </c>
      <c r="F28" s="2" t="s">
        <v>49</v>
      </c>
      <c r="G28" s="2" t="s">
        <v>70</v>
      </c>
      <c r="H28" s="2" t="s">
        <v>33</v>
      </c>
      <c r="I28" s="2" t="s">
        <v>45</v>
      </c>
      <c r="J28" s="2">
        <v>340</v>
      </c>
      <c r="K28" s="5" t="s">
        <v>46</v>
      </c>
    </row>
    <row r="29" spans="1:11" ht="15.5" hidden="1" thickTop="1" thickBot="1" x14ac:dyDescent="0.4">
      <c r="A29" s="4" t="s">
        <v>11</v>
      </c>
      <c r="B29" s="2" t="s">
        <v>12</v>
      </c>
      <c r="C29" s="2" t="s">
        <v>13</v>
      </c>
      <c r="D29" s="2" t="s">
        <v>128</v>
      </c>
      <c r="E29" s="2" t="s">
        <v>129</v>
      </c>
      <c r="F29" s="2" t="s">
        <v>24</v>
      </c>
      <c r="G29" s="2" t="s">
        <v>130</v>
      </c>
      <c r="H29" s="2" t="s">
        <v>33</v>
      </c>
      <c r="I29" s="2" t="s">
        <v>45</v>
      </c>
      <c r="J29" s="3">
        <v>3780</v>
      </c>
      <c r="K29" s="5" t="s">
        <v>131</v>
      </c>
    </row>
    <row r="30" spans="1:11" ht="15.5" hidden="1" thickTop="1" thickBot="1" x14ac:dyDescent="0.4">
      <c r="A30" s="4" t="s">
        <v>11</v>
      </c>
      <c r="B30" s="2" t="s">
        <v>12</v>
      </c>
      <c r="C30" s="2" t="s">
        <v>13</v>
      </c>
      <c r="D30" s="2" t="s">
        <v>132</v>
      </c>
      <c r="E30" s="2" t="s">
        <v>122</v>
      </c>
      <c r="F30" s="2" t="s">
        <v>37</v>
      </c>
      <c r="G30" s="2" t="s">
        <v>70</v>
      </c>
      <c r="H30" s="2" t="s">
        <v>56</v>
      </c>
      <c r="I30" s="2" t="s">
        <v>45</v>
      </c>
      <c r="J30" s="2">
        <v>807</v>
      </c>
      <c r="K30" s="5" t="s">
        <v>89</v>
      </c>
    </row>
    <row r="31" spans="1:11" ht="15.5" hidden="1" thickTop="1" thickBot="1" x14ac:dyDescent="0.4">
      <c r="A31" s="4" t="s">
        <v>11</v>
      </c>
      <c r="B31" s="2" t="s">
        <v>12</v>
      </c>
      <c r="C31" s="2" t="s">
        <v>28</v>
      </c>
      <c r="D31" s="2" t="s">
        <v>133</v>
      </c>
      <c r="E31" s="2" t="s">
        <v>134</v>
      </c>
      <c r="F31" s="2" t="s">
        <v>31</v>
      </c>
      <c r="G31" s="2" t="s">
        <v>135</v>
      </c>
      <c r="H31" s="2" t="s">
        <v>33</v>
      </c>
      <c r="I31" s="2" t="s">
        <v>19</v>
      </c>
      <c r="J31" s="3">
        <v>8010</v>
      </c>
      <c r="K31" s="5" t="s">
        <v>136</v>
      </c>
    </row>
    <row r="32" spans="1:11" ht="15.5" hidden="1" thickTop="1" thickBot="1" x14ac:dyDescent="0.4">
      <c r="A32" s="4" t="s">
        <v>57</v>
      </c>
      <c r="B32" s="2" t="s">
        <v>12</v>
      </c>
      <c r="C32" s="2" t="s">
        <v>13</v>
      </c>
      <c r="D32" s="2" t="s">
        <v>137</v>
      </c>
      <c r="E32" s="2" t="s">
        <v>138</v>
      </c>
      <c r="F32" s="2" t="s">
        <v>31</v>
      </c>
      <c r="G32" s="2" t="s">
        <v>70</v>
      </c>
      <c r="H32" s="2" t="s">
        <v>33</v>
      </c>
      <c r="I32" s="2" t="s">
        <v>19</v>
      </c>
      <c r="J32" s="3">
        <v>26950</v>
      </c>
      <c r="K32" s="5" t="s">
        <v>83</v>
      </c>
    </row>
    <row r="33" spans="1:11" ht="15.5" hidden="1" thickTop="1" thickBot="1" x14ac:dyDescent="0.4">
      <c r="A33" s="4" t="s">
        <v>11</v>
      </c>
      <c r="B33" s="2" t="s">
        <v>21</v>
      </c>
      <c r="C33" s="2" t="s">
        <v>28</v>
      </c>
      <c r="D33" s="2" t="s">
        <v>139</v>
      </c>
      <c r="E33" s="2" t="s">
        <v>140</v>
      </c>
      <c r="F33" s="2" t="s">
        <v>141</v>
      </c>
      <c r="G33" s="2" t="s">
        <v>142</v>
      </c>
      <c r="H33" s="2" t="s">
        <v>33</v>
      </c>
      <c r="I33" s="2" t="s">
        <v>19</v>
      </c>
      <c r="J33" s="3">
        <v>4820</v>
      </c>
      <c r="K33" s="5" t="s">
        <v>143</v>
      </c>
    </row>
    <row r="34" spans="1:11" ht="15.5" hidden="1" thickTop="1" thickBot="1" x14ac:dyDescent="0.4">
      <c r="A34" s="4" t="s">
        <v>11</v>
      </c>
      <c r="B34" s="2" t="s">
        <v>21</v>
      </c>
      <c r="C34" s="2" t="s">
        <v>13</v>
      </c>
      <c r="D34" s="2" t="s">
        <v>144</v>
      </c>
      <c r="E34" s="2" t="s">
        <v>145</v>
      </c>
      <c r="F34" s="2" t="s">
        <v>146</v>
      </c>
      <c r="G34" s="2" t="s">
        <v>147</v>
      </c>
      <c r="H34" s="2" t="s">
        <v>18</v>
      </c>
      <c r="I34" s="2" t="s">
        <v>19</v>
      </c>
      <c r="J34" s="3">
        <v>157200</v>
      </c>
      <c r="K34" s="5" t="s">
        <v>148</v>
      </c>
    </row>
    <row r="35" spans="1:11" ht="15.5" hidden="1" thickTop="1" thickBot="1" x14ac:dyDescent="0.4">
      <c r="A35" s="4" t="s">
        <v>11</v>
      </c>
      <c r="B35" s="2" t="s">
        <v>12</v>
      </c>
      <c r="C35" s="2" t="s">
        <v>13</v>
      </c>
      <c r="D35" s="2" t="s">
        <v>149</v>
      </c>
      <c r="E35" s="2" t="s">
        <v>150</v>
      </c>
      <c r="F35" s="2" t="s">
        <v>24</v>
      </c>
      <c r="G35" s="2" t="s">
        <v>151</v>
      </c>
      <c r="H35" s="2" t="s">
        <v>33</v>
      </c>
      <c r="I35" s="2" t="s">
        <v>19</v>
      </c>
      <c r="J35" s="3">
        <v>1320</v>
      </c>
      <c r="K35" s="5" t="s">
        <v>152</v>
      </c>
    </row>
    <row r="36" spans="1:11" ht="15.5" hidden="1" thickTop="1" thickBot="1" x14ac:dyDescent="0.4">
      <c r="A36" s="4" t="s">
        <v>11</v>
      </c>
      <c r="B36" s="2" t="s">
        <v>12</v>
      </c>
      <c r="C36" s="2" t="s">
        <v>28</v>
      </c>
      <c r="D36" s="2" t="s">
        <v>139</v>
      </c>
      <c r="E36" s="2" t="s">
        <v>140</v>
      </c>
      <c r="F36" s="2" t="s">
        <v>141</v>
      </c>
      <c r="G36" s="2" t="s">
        <v>142</v>
      </c>
      <c r="H36" s="2" t="s">
        <v>33</v>
      </c>
      <c r="I36" s="2" t="s">
        <v>19</v>
      </c>
      <c r="J36" s="3">
        <v>4780</v>
      </c>
      <c r="K36" s="5" t="s">
        <v>143</v>
      </c>
    </row>
    <row r="37" spans="1:11" ht="15.5" hidden="1" thickTop="1" thickBot="1" x14ac:dyDescent="0.4">
      <c r="A37" s="4" t="s">
        <v>57</v>
      </c>
      <c r="B37" s="2" t="s">
        <v>75</v>
      </c>
      <c r="C37" s="2" t="s">
        <v>13</v>
      </c>
      <c r="D37" s="2" t="s">
        <v>153</v>
      </c>
      <c r="E37" s="2" t="s">
        <v>154</v>
      </c>
      <c r="F37" s="2" t="s">
        <v>141</v>
      </c>
      <c r="G37" s="2" t="s">
        <v>155</v>
      </c>
      <c r="H37" s="2" t="s">
        <v>33</v>
      </c>
      <c r="I37" s="2" t="s">
        <v>19</v>
      </c>
      <c r="J37" s="2">
        <v>900</v>
      </c>
      <c r="K37" s="5" t="s">
        <v>156</v>
      </c>
    </row>
    <row r="38" spans="1:11" ht="15.5" hidden="1" thickTop="1" thickBot="1" x14ac:dyDescent="0.4">
      <c r="A38" s="4" t="s">
        <v>11</v>
      </c>
      <c r="B38" s="2" t="s">
        <v>12</v>
      </c>
      <c r="C38" s="2" t="s">
        <v>28</v>
      </c>
      <c r="D38" s="2" t="s">
        <v>157</v>
      </c>
      <c r="E38" s="2" t="s">
        <v>119</v>
      </c>
      <c r="F38" s="2" t="s">
        <v>42</v>
      </c>
      <c r="G38" s="2" t="s">
        <v>158</v>
      </c>
      <c r="H38" s="2" t="s">
        <v>33</v>
      </c>
      <c r="I38" s="2" t="s">
        <v>45</v>
      </c>
      <c r="J38" s="3">
        <v>26070</v>
      </c>
      <c r="K38" s="5" t="s">
        <v>159</v>
      </c>
    </row>
    <row r="39" spans="1:11" ht="15.5" hidden="1" thickTop="1" thickBot="1" x14ac:dyDescent="0.4">
      <c r="A39" s="4" t="s">
        <v>11</v>
      </c>
      <c r="B39" s="2" t="s">
        <v>12</v>
      </c>
      <c r="C39" s="2" t="s">
        <v>13</v>
      </c>
      <c r="D39" s="2" t="s">
        <v>160</v>
      </c>
      <c r="E39" s="2" t="s">
        <v>161</v>
      </c>
      <c r="F39" s="2" t="s">
        <v>162</v>
      </c>
      <c r="G39" s="2" t="s">
        <v>163</v>
      </c>
      <c r="H39" s="2" t="s">
        <v>33</v>
      </c>
      <c r="I39" s="2" t="s">
        <v>45</v>
      </c>
      <c r="J39" s="3">
        <v>1790</v>
      </c>
      <c r="K39" s="5" t="s">
        <v>46</v>
      </c>
    </row>
    <row r="40" spans="1:11" ht="15.5" hidden="1" thickTop="1" thickBot="1" x14ac:dyDescent="0.4">
      <c r="A40" s="4" t="s">
        <v>11</v>
      </c>
      <c r="B40" s="2" t="s">
        <v>12</v>
      </c>
      <c r="C40" s="2" t="s">
        <v>13</v>
      </c>
      <c r="D40" s="2" t="s">
        <v>164</v>
      </c>
      <c r="E40" s="2" t="s">
        <v>165</v>
      </c>
      <c r="F40" s="2" t="s">
        <v>86</v>
      </c>
      <c r="G40" s="2" t="s">
        <v>70</v>
      </c>
      <c r="H40" s="2" t="s">
        <v>33</v>
      </c>
      <c r="I40" s="2" t="s">
        <v>19</v>
      </c>
      <c r="J40" s="3">
        <v>5260</v>
      </c>
      <c r="K40" s="5" t="s">
        <v>46</v>
      </c>
    </row>
    <row r="41" spans="1:11" ht="15.5" hidden="1" thickTop="1" thickBot="1" x14ac:dyDescent="0.4">
      <c r="A41" s="4" t="s">
        <v>11</v>
      </c>
      <c r="B41" s="2" t="s">
        <v>21</v>
      </c>
      <c r="C41" s="2" t="s">
        <v>13</v>
      </c>
      <c r="D41" s="2" t="s">
        <v>166</v>
      </c>
      <c r="E41" s="2" t="s">
        <v>167</v>
      </c>
      <c r="F41" s="2" t="s">
        <v>31</v>
      </c>
      <c r="G41" s="2" t="s">
        <v>168</v>
      </c>
      <c r="H41" s="2" t="s">
        <v>33</v>
      </c>
      <c r="I41" s="2" t="s">
        <v>45</v>
      </c>
      <c r="J41" s="2">
        <v>210</v>
      </c>
      <c r="K41" s="5" t="s">
        <v>169</v>
      </c>
    </row>
    <row r="42" spans="1:11" ht="15.5" hidden="1" thickTop="1" thickBot="1" x14ac:dyDescent="0.4">
      <c r="A42" s="4" t="s">
        <v>11</v>
      </c>
      <c r="B42" s="2" t="s">
        <v>75</v>
      </c>
      <c r="C42" s="2" t="s">
        <v>28</v>
      </c>
      <c r="D42" s="2" t="s">
        <v>170</v>
      </c>
      <c r="E42" s="2" t="s">
        <v>171</v>
      </c>
      <c r="F42" s="2" t="s">
        <v>24</v>
      </c>
      <c r="G42" s="2" t="s">
        <v>172</v>
      </c>
      <c r="H42" s="2" t="s">
        <v>33</v>
      </c>
      <c r="I42" s="2" t="s">
        <v>19</v>
      </c>
      <c r="J42" s="3">
        <v>9070</v>
      </c>
      <c r="K42" s="5" t="s">
        <v>148</v>
      </c>
    </row>
    <row r="43" spans="1:11" ht="15.5" hidden="1" thickTop="1" thickBot="1" x14ac:dyDescent="0.4">
      <c r="A43" s="4" t="s">
        <v>11</v>
      </c>
      <c r="B43" s="2" t="s">
        <v>12</v>
      </c>
      <c r="C43" s="2" t="s">
        <v>28</v>
      </c>
      <c r="D43" s="2" t="s">
        <v>173</v>
      </c>
      <c r="E43" s="2" t="s">
        <v>72</v>
      </c>
      <c r="F43" s="2" t="s">
        <v>174</v>
      </c>
      <c r="G43" s="2" t="s">
        <v>175</v>
      </c>
      <c r="H43" s="2" t="s">
        <v>33</v>
      </c>
      <c r="I43" s="2" t="s">
        <v>19</v>
      </c>
      <c r="J43" s="3">
        <v>9030</v>
      </c>
      <c r="K43" s="5" t="s">
        <v>176</v>
      </c>
    </row>
    <row r="44" spans="1:11" ht="15.5" hidden="1" thickTop="1" thickBot="1" x14ac:dyDescent="0.4">
      <c r="A44" s="4" t="s">
        <v>11</v>
      </c>
      <c r="B44" s="2" t="s">
        <v>12</v>
      </c>
      <c r="C44" s="2" t="s">
        <v>63</v>
      </c>
      <c r="D44" s="2" t="s">
        <v>177</v>
      </c>
      <c r="E44" s="2" t="s">
        <v>178</v>
      </c>
      <c r="F44" s="2" t="s">
        <v>179</v>
      </c>
      <c r="G44" s="2" t="s">
        <v>180</v>
      </c>
      <c r="H44" s="2" t="s">
        <v>33</v>
      </c>
      <c r="I44" s="2" t="s">
        <v>45</v>
      </c>
      <c r="J44" s="2">
        <v>60</v>
      </c>
      <c r="K44" s="5" t="s">
        <v>176</v>
      </c>
    </row>
    <row r="45" spans="1:11" ht="15.5" hidden="1" thickTop="1" thickBot="1" x14ac:dyDescent="0.4">
      <c r="A45" s="4" t="s">
        <v>11</v>
      </c>
      <c r="B45" s="2" t="s">
        <v>12</v>
      </c>
      <c r="C45" s="2" t="s">
        <v>28</v>
      </c>
      <c r="D45" s="2" t="s">
        <v>181</v>
      </c>
      <c r="E45" s="2" t="s">
        <v>182</v>
      </c>
      <c r="F45" s="2" t="s">
        <v>60</v>
      </c>
      <c r="G45" s="2" t="s">
        <v>183</v>
      </c>
      <c r="H45" s="2" t="s">
        <v>33</v>
      </c>
      <c r="I45" s="2" t="s">
        <v>19</v>
      </c>
      <c r="J45" s="3">
        <v>41020</v>
      </c>
      <c r="K45" s="5" t="s">
        <v>184</v>
      </c>
    </row>
    <row r="46" spans="1:11" ht="15.5" thickTop="1" thickBot="1" x14ac:dyDescent="0.4">
      <c r="A46" s="4" t="s">
        <v>11</v>
      </c>
      <c r="B46" s="2" t="s">
        <v>12</v>
      </c>
      <c r="C46" s="2" t="s">
        <v>13</v>
      </c>
      <c r="D46" s="2" t="s">
        <v>185</v>
      </c>
      <c r="E46" s="2" t="s">
        <v>186</v>
      </c>
      <c r="F46" s="2" t="s">
        <v>37</v>
      </c>
      <c r="G46" s="2" t="s">
        <v>111</v>
      </c>
      <c r="H46" s="2" t="s">
        <v>44</v>
      </c>
      <c r="I46" s="2" t="s">
        <v>19</v>
      </c>
      <c r="J46" s="3">
        <v>26040</v>
      </c>
      <c r="K46" s="5" t="s">
        <v>187</v>
      </c>
    </row>
    <row r="47" spans="1:11" ht="15.5" hidden="1" thickTop="1" thickBot="1" x14ac:dyDescent="0.4">
      <c r="A47" s="4" t="s">
        <v>11</v>
      </c>
      <c r="B47" s="2" t="s">
        <v>12</v>
      </c>
      <c r="C47" s="2" t="s">
        <v>13</v>
      </c>
      <c r="D47" s="2" t="s">
        <v>188</v>
      </c>
      <c r="E47" s="2" t="s">
        <v>189</v>
      </c>
      <c r="F47" s="2" t="s">
        <v>66</v>
      </c>
      <c r="G47" s="2" t="s">
        <v>70</v>
      </c>
      <c r="H47" s="2" t="s">
        <v>33</v>
      </c>
      <c r="I47" s="2" t="s">
        <v>19</v>
      </c>
      <c r="J47" s="3">
        <v>5050</v>
      </c>
      <c r="K47" s="5" t="s">
        <v>46</v>
      </c>
    </row>
    <row r="48" spans="1:11" ht="15.5" hidden="1" thickTop="1" thickBot="1" x14ac:dyDescent="0.4">
      <c r="A48" s="4" t="s">
        <v>11</v>
      </c>
      <c r="B48" s="2" t="s">
        <v>12</v>
      </c>
      <c r="C48" s="2" t="s">
        <v>28</v>
      </c>
      <c r="D48" s="2" t="s">
        <v>190</v>
      </c>
      <c r="E48" s="2" t="s">
        <v>41</v>
      </c>
      <c r="F48" s="2" t="s">
        <v>95</v>
      </c>
      <c r="G48" s="2" t="s">
        <v>191</v>
      </c>
      <c r="H48" s="2" t="s">
        <v>33</v>
      </c>
      <c r="I48" s="2" t="s">
        <v>45</v>
      </c>
      <c r="J48" s="2">
        <v>990</v>
      </c>
      <c r="K48" s="5" t="s">
        <v>46</v>
      </c>
    </row>
    <row r="49" spans="1:11" ht="15.5" thickTop="1" thickBot="1" x14ac:dyDescent="0.4">
      <c r="A49" s="4" t="s">
        <v>11</v>
      </c>
      <c r="B49" s="2" t="s">
        <v>12</v>
      </c>
      <c r="C49" s="2" t="s">
        <v>28</v>
      </c>
      <c r="D49" s="2" t="s">
        <v>192</v>
      </c>
      <c r="E49" s="2" t="s">
        <v>48</v>
      </c>
      <c r="F49" s="2" t="s">
        <v>37</v>
      </c>
      <c r="G49" s="2" t="s">
        <v>142</v>
      </c>
      <c r="H49" s="2" t="s">
        <v>44</v>
      </c>
      <c r="I49" s="2" t="s">
        <v>19</v>
      </c>
      <c r="J49" s="3">
        <v>2290</v>
      </c>
      <c r="K49" s="5" t="s">
        <v>193</v>
      </c>
    </row>
    <row r="50" spans="1:11" ht="15.5" hidden="1" thickTop="1" thickBot="1" x14ac:dyDescent="0.4">
      <c r="A50" s="4" t="s">
        <v>57</v>
      </c>
      <c r="B50" s="2" t="s">
        <v>12</v>
      </c>
      <c r="C50" s="2" t="s">
        <v>28</v>
      </c>
      <c r="D50" s="2" t="s">
        <v>128</v>
      </c>
      <c r="E50" s="2" t="s">
        <v>194</v>
      </c>
      <c r="F50" s="2" t="s">
        <v>24</v>
      </c>
      <c r="G50" s="2" t="s">
        <v>130</v>
      </c>
      <c r="H50" s="2" t="s">
        <v>33</v>
      </c>
      <c r="I50" s="2" t="s">
        <v>45</v>
      </c>
      <c r="J50" s="3">
        <v>3810</v>
      </c>
      <c r="K50" s="5" t="s">
        <v>195</v>
      </c>
    </row>
    <row r="51" spans="1:11" ht="15.5" hidden="1" thickTop="1" thickBot="1" x14ac:dyDescent="0.4">
      <c r="A51" s="4" t="s">
        <v>11</v>
      </c>
      <c r="B51" s="2" t="s">
        <v>12</v>
      </c>
      <c r="C51" s="2" t="s">
        <v>13</v>
      </c>
      <c r="D51" s="2" t="s">
        <v>196</v>
      </c>
      <c r="E51" s="2" t="s">
        <v>197</v>
      </c>
      <c r="F51" s="2" t="s">
        <v>37</v>
      </c>
      <c r="G51" s="2" t="s">
        <v>111</v>
      </c>
      <c r="H51" s="2" t="s">
        <v>33</v>
      </c>
      <c r="I51" s="2" t="s">
        <v>19</v>
      </c>
      <c r="J51" s="3">
        <v>24040</v>
      </c>
      <c r="K51" s="5" t="s">
        <v>198</v>
      </c>
    </row>
    <row r="52" spans="1:11" ht="15.5" hidden="1" thickTop="1" thickBot="1" x14ac:dyDescent="0.4">
      <c r="A52" s="4" t="s">
        <v>11</v>
      </c>
      <c r="B52" s="2" t="s">
        <v>21</v>
      </c>
      <c r="C52" s="2" t="s">
        <v>28</v>
      </c>
      <c r="D52" s="2" t="s">
        <v>199</v>
      </c>
      <c r="E52" s="2" t="s">
        <v>200</v>
      </c>
      <c r="F52" s="2" t="s">
        <v>201</v>
      </c>
      <c r="G52" s="2" t="s">
        <v>147</v>
      </c>
      <c r="H52" s="2" t="s">
        <v>33</v>
      </c>
      <c r="I52" s="2" t="s">
        <v>45</v>
      </c>
      <c r="J52" s="2">
        <v>46</v>
      </c>
      <c r="K52" s="5" t="s">
        <v>46</v>
      </c>
    </row>
    <row r="53" spans="1:11" ht="15.5" hidden="1" thickTop="1" thickBot="1" x14ac:dyDescent="0.4">
      <c r="A53" s="4" t="s">
        <v>11</v>
      </c>
      <c r="B53" s="2" t="s">
        <v>12</v>
      </c>
      <c r="C53" s="2" t="s">
        <v>28</v>
      </c>
      <c r="D53" s="2" t="s">
        <v>202</v>
      </c>
      <c r="E53" s="2" t="s">
        <v>203</v>
      </c>
      <c r="F53" s="2" t="s">
        <v>49</v>
      </c>
      <c r="G53" s="2" t="s">
        <v>147</v>
      </c>
      <c r="H53" s="2" t="s">
        <v>33</v>
      </c>
      <c r="I53" s="2" t="s">
        <v>45</v>
      </c>
      <c r="J53" s="2">
        <v>330</v>
      </c>
      <c r="K53" s="5" t="s">
        <v>204</v>
      </c>
    </row>
    <row r="54" spans="1:11" ht="15.5" hidden="1" thickTop="1" thickBot="1" x14ac:dyDescent="0.4">
      <c r="A54" s="4" t="s">
        <v>11</v>
      </c>
      <c r="B54" s="2" t="s">
        <v>12</v>
      </c>
      <c r="C54" s="2" t="s">
        <v>28</v>
      </c>
      <c r="D54" s="2" t="s">
        <v>205</v>
      </c>
      <c r="E54" s="2" t="s">
        <v>41</v>
      </c>
      <c r="F54" s="2" t="s">
        <v>49</v>
      </c>
      <c r="G54" s="2" t="s">
        <v>206</v>
      </c>
      <c r="H54" s="2" t="s">
        <v>33</v>
      </c>
      <c r="I54" s="2" t="s">
        <v>45</v>
      </c>
      <c r="J54" s="2">
        <v>5</v>
      </c>
      <c r="K54" s="5" t="s">
        <v>46</v>
      </c>
    </row>
    <row r="55" spans="1:11" ht="15.5" thickTop="1" thickBot="1" x14ac:dyDescent="0.4">
      <c r="A55" s="4" t="s">
        <v>11</v>
      </c>
      <c r="B55" s="2" t="s">
        <v>12</v>
      </c>
      <c r="C55" s="2" t="s">
        <v>28</v>
      </c>
      <c r="D55" s="2" t="s">
        <v>207</v>
      </c>
      <c r="E55" s="2" t="s">
        <v>208</v>
      </c>
      <c r="F55" s="2" t="s">
        <v>174</v>
      </c>
      <c r="G55" s="2" t="s">
        <v>70</v>
      </c>
      <c r="H55" s="2" t="s">
        <v>44</v>
      </c>
      <c r="I55" s="2" t="s">
        <v>45</v>
      </c>
      <c r="J55" s="2">
        <v>950</v>
      </c>
      <c r="K55" s="5" t="s">
        <v>46</v>
      </c>
    </row>
    <row r="56" spans="1:11" ht="15.5" hidden="1" thickTop="1" thickBot="1" x14ac:dyDescent="0.4">
      <c r="A56" s="4" t="s">
        <v>11</v>
      </c>
      <c r="B56" s="2" t="s">
        <v>12</v>
      </c>
      <c r="C56" s="2" t="s">
        <v>28</v>
      </c>
      <c r="D56" s="2" t="s">
        <v>209</v>
      </c>
      <c r="E56" s="2" t="s">
        <v>210</v>
      </c>
      <c r="F56" s="2" t="s">
        <v>211</v>
      </c>
      <c r="G56" s="2" t="s">
        <v>124</v>
      </c>
      <c r="H56" s="2" t="s">
        <v>33</v>
      </c>
      <c r="I56" s="2" t="s">
        <v>45</v>
      </c>
      <c r="J56" s="2">
        <v>750</v>
      </c>
      <c r="K56" s="5" t="s">
        <v>46</v>
      </c>
    </row>
    <row r="57" spans="1:11" ht="15.5" hidden="1" thickTop="1" thickBot="1" x14ac:dyDescent="0.4">
      <c r="A57" s="4" t="s">
        <v>11</v>
      </c>
      <c r="B57" s="2" t="s">
        <v>12</v>
      </c>
      <c r="C57" s="2" t="s">
        <v>13</v>
      </c>
      <c r="D57" s="2" t="s">
        <v>212</v>
      </c>
      <c r="E57" s="2" t="s">
        <v>213</v>
      </c>
      <c r="F57" s="2" t="s">
        <v>141</v>
      </c>
      <c r="G57" s="2" t="s">
        <v>214</v>
      </c>
      <c r="H57" s="2" t="s">
        <v>33</v>
      </c>
      <c r="I57" s="2" t="s">
        <v>19</v>
      </c>
      <c r="J57" s="3">
        <v>23860</v>
      </c>
      <c r="K57" s="5" t="s">
        <v>215</v>
      </c>
    </row>
    <row r="58" spans="1:11" ht="15.5" hidden="1" thickTop="1" thickBot="1" x14ac:dyDescent="0.4">
      <c r="A58" s="4" t="s">
        <v>11</v>
      </c>
      <c r="B58" s="2" t="s">
        <v>12</v>
      </c>
      <c r="C58" s="2" t="s">
        <v>28</v>
      </c>
      <c r="D58" s="2" t="s">
        <v>216</v>
      </c>
      <c r="E58" s="2" t="s">
        <v>217</v>
      </c>
      <c r="F58" s="2" t="s">
        <v>49</v>
      </c>
      <c r="G58" s="2" t="s">
        <v>218</v>
      </c>
      <c r="H58" s="2" t="s">
        <v>33</v>
      </c>
      <c r="I58" s="2" t="s">
        <v>19</v>
      </c>
      <c r="J58" s="3">
        <v>28840</v>
      </c>
      <c r="K58" s="5" t="s">
        <v>219</v>
      </c>
    </row>
    <row r="59" spans="1:11" ht="15.5" hidden="1" thickTop="1" thickBot="1" x14ac:dyDescent="0.4">
      <c r="A59" s="4" t="s">
        <v>11</v>
      </c>
      <c r="B59" s="2" t="s">
        <v>75</v>
      </c>
      <c r="C59" s="2" t="s">
        <v>28</v>
      </c>
      <c r="D59" s="2" t="s">
        <v>220</v>
      </c>
      <c r="E59" s="2" t="s">
        <v>221</v>
      </c>
      <c r="F59" s="2" t="s">
        <v>37</v>
      </c>
      <c r="G59" s="2" t="s">
        <v>222</v>
      </c>
      <c r="H59" s="2" t="s">
        <v>56</v>
      </c>
      <c r="I59" s="2" t="s">
        <v>19</v>
      </c>
      <c r="J59" s="3">
        <v>10933</v>
      </c>
      <c r="K59" s="5" t="s">
        <v>46</v>
      </c>
    </row>
    <row r="60" spans="1:11" ht="15.5" hidden="1" thickTop="1" thickBot="1" x14ac:dyDescent="0.4">
      <c r="A60" s="4" t="s">
        <v>11</v>
      </c>
      <c r="B60" s="2" t="s">
        <v>75</v>
      </c>
      <c r="C60" s="2" t="s">
        <v>63</v>
      </c>
      <c r="D60" s="2" t="s">
        <v>223</v>
      </c>
      <c r="E60" s="2" t="s">
        <v>224</v>
      </c>
      <c r="F60" s="2" t="s">
        <v>225</v>
      </c>
      <c r="G60" s="2" t="s">
        <v>226</v>
      </c>
      <c r="H60" s="2" t="s">
        <v>26</v>
      </c>
      <c r="I60" s="2" t="s">
        <v>19</v>
      </c>
      <c r="J60" s="3">
        <v>99620</v>
      </c>
      <c r="K60" s="5" t="s">
        <v>227</v>
      </c>
    </row>
    <row r="61" spans="1:11" ht="15.5" hidden="1" thickTop="1" thickBot="1" x14ac:dyDescent="0.4">
      <c r="A61" s="4" t="s">
        <v>57</v>
      </c>
      <c r="B61" s="2" t="s">
        <v>12</v>
      </c>
      <c r="C61" s="2" t="s">
        <v>28</v>
      </c>
      <c r="D61" s="2" t="s">
        <v>228</v>
      </c>
      <c r="E61" s="2" t="s">
        <v>229</v>
      </c>
      <c r="F61" s="2" t="s">
        <v>225</v>
      </c>
      <c r="G61" s="2" t="s">
        <v>230</v>
      </c>
      <c r="H61" s="2" t="s">
        <v>231</v>
      </c>
      <c r="I61" s="2" t="s">
        <v>45</v>
      </c>
      <c r="J61" s="3">
        <v>38090</v>
      </c>
      <c r="K61" s="5" t="s">
        <v>232</v>
      </c>
    </row>
    <row r="62" spans="1:11" ht="15.5" thickTop="1" thickBot="1" x14ac:dyDescent="0.4">
      <c r="A62" s="4" t="s">
        <v>11</v>
      </c>
      <c r="B62" s="2" t="s">
        <v>12</v>
      </c>
      <c r="C62" s="2" t="s">
        <v>28</v>
      </c>
      <c r="D62" s="2" t="s">
        <v>192</v>
      </c>
      <c r="E62" s="2" t="s">
        <v>233</v>
      </c>
      <c r="F62" s="2" t="s">
        <v>37</v>
      </c>
      <c r="G62" s="2" t="s">
        <v>142</v>
      </c>
      <c r="H62" s="2" t="s">
        <v>44</v>
      </c>
      <c r="I62" s="2" t="s">
        <v>19</v>
      </c>
      <c r="J62" s="3">
        <v>2300</v>
      </c>
      <c r="K62" s="5" t="s">
        <v>193</v>
      </c>
    </row>
    <row r="63" spans="1:11" ht="15.5" hidden="1" thickTop="1" thickBot="1" x14ac:dyDescent="0.4">
      <c r="A63" s="4" t="s">
        <v>11</v>
      </c>
      <c r="B63" s="2" t="s">
        <v>12</v>
      </c>
      <c r="C63" s="2" t="s">
        <v>28</v>
      </c>
      <c r="D63" s="2" t="s">
        <v>234</v>
      </c>
      <c r="E63" s="2" t="s">
        <v>208</v>
      </c>
      <c r="F63" s="2" t="s">
        <v>31</v>
      </c>
      <c r="G63" s="2" t="s">
        <v>70</v>
      </c>
      <c r="H63" s="2" t="s">
        <v>33</v>
      </c>
      <c r="I63" s="2" t="s">
        <v>45</v>
      </c>
      <c r="J63" s="2">
        <v>420</v>
      </c>
      <c r="K63" s="5" t="s">
        <v>46</v>
      </c>
    </row>
    <row r="64" spans="1:11" ht="15.5" hidden="1" thickTop="1" thickBot="1" x14ac:dyDescent="0.4">
      <c r="A64" s="4" t="s">
        <v>11</v>
      </c>
      <c r="B64" s="2" t="s">
        <v>21</v>
      </c>
      <c r="C64" s="2" t="s">
        <v>28</v>
      </c>
      <c r="D64" s="2" t="s">
        <v>235</v>
      </c>
      <c r="E64" s="2" t="s">
        <v>236</v>
      </c>
      <c r="F64" s="2" t="s">
        <v>37</v>
      </c>
      <c r="G64" s="2" t="s">
        <v>237</v>
      </c>
      <c r="H64" s="2" t="s">
        <v>18</v>
      </c>
      <c r="I64" s="2" t="s">
        <v>19</v>
      </c>
      <c r="J64" s="3">
        <v>118910</v>
      </c>
      <c r="K64" s="5" t="s">
        <v>238</v>
      </c>
    </row>
    <row r="65" spans="1:11" ht="15.5" thickTop="1" thickBot="1" x14ac:dyDescent="0.4">
      <c r="A65" s="4" t="s">
        <v>11</v>
      </c>
      <c r="B65" s="2" t="s">
        <v>12</v>
      </c>
      <c r="C65" s="2" t="s">
        <v>13</v>
      </c>
      <c r="D65" s="2" t="s">
        <v>239</v>
      </c>
      <c r="E65" s="2" t="s">
        <v>240</v>
      </c>
      <c r="F65" s="2" t="s">
        <v>31</v>
      </c>
      <c r="G65" s="2" t="s">
        <v>241</v>
      </c>
      <c r="H65" s="2" t="s">
        <v>44</v>
      </c>
      <c r="I65" s="2" t="s">
        <v>19</v>
      </c>
      <c r="J65" s="3">
        <v>68400</v>
      </c>
      <c r="K65" s="5" t="s">
        <v>242</v>
      </c>
    </row>
    <row r="66" spans="1:11" ht="15.5" hidden="1" thickTop="1" thickBot="1" x14ac:dyDescent="0.4">
      <c r="A66" s="4" t="s">
        <v>11</v>
      </c>
      <c r="B66" s="2" t="s">
        <v>12</v>
      </c>
      <c r="C66" s="2" t="s">
        <v>28</v>
      </c>
      <c r="D66" s="2" t="s">
        <v>243</v>
      </c>
      <c r="E66" s="2" t="s">
        <v>244</v>
      </c>
      <c r="F66" s="2" t="s">
        <v>245</v>
      </c>
      <c r="G66" s="2" t="s">
        <v>246</v>
      </c>
      <c r="H66" s="2" t="s">
        <v>33</v>
      </c>
      <c r="I66" s="2" t="s">
        <v>19</v>
      </c>
      <c r="J66" s="3">
        <v>187540</v>
      </c>
      <c r="K66" s="5" t="s">
        <v>247</v>
      </c>
    </row>
    <row r="67" spans="1:11" ht="15.5" thickTop="1" thickBot="1" x14ac:dyDescent="0.4">
      <c r="A67" s="4" t="s">
        <v>11</v>
      </c>
      <c r="B67" s="2" t="s">
        <v>12</v>
      </c>
      <c r="C67" s="2" t="s">
        <v>28</v>
      </c>
      <c r="D67" s="2" t="s">
        <v>248</v>
      </c>
      <c r="E67" s="2" t="s">
        <v>249</v>
      </c>
      <c r="F67" s="2" t="s">
        <v>24</v>
      </c>
      <c r="G67" s="2" t="s">
        <v>250</v>
      </c>
      <c r="H67" s="2" t="s">
        <v>44</v>
      </c>
      <c r="I67" s="2" t="s">
        <v>19</v>
      </c>
      <c r="J67" s="3">
        <v>3810</v>
      </c>
      <c r="K67" s="5" t="s">
        <v>46</v>
      </c>
    </row>
    <row r="68" spans="1:11" ht="15.5" hidden="1" thickTop="1" thickBot="1" x14ac:dyDescent="0.4">
      <c r="A68" s="4" t="s">
        <v>11</v>
      </c>
      <c r="B68" s="2" t="s">
        <v>75</v>
      </c>
      <c r="C68" s="2" t="s">
        <v>28</v>
      </c>
      <c r="D68" s="2" t="s">
        <v>53</v>
      </c>
      <c r="E68" s="2" t="s">
        <v>54</v>
      </c>
      <c r="F68" s="2" t="s">
        <v>24</v>
      </c>
      <c r="G68" s="2" t="s">
        <v>55</v>
      </c>
      <c r="H68" s="2" t="s">
        <v>56</v>
      </c>
      <c r="I68" s="2" t="s">
        <v>19</v>
      </c>
      <c r="J68" s="3">
        <v>17451</v>
      </c>
      <c r="K68" s="5" t="s">
        <v>251</v>
      </c>
    </row>
    <row r="69" spans="1:11" ht="15.5" hidden="1" thickTop="1" thickBot="1" x14ac:dyDescent="0.4">
      <c r="A69" s="4" t="s">
        <v>11</v>
      </c>
      <c r="B69" s="2" t="s">
        <v>12</v>
      </c>
      <c r="C69" s="2" t="s">
        <v>63</v>
      </c>
      <c r="D69" s="2" t="s">
        <v>252</v>
      </c>
      <c r="E69" s="2" t="s">
        <v>253</v>
      </c>
      <c r="F69" s="2" t="s">
        <v>31</v>
      </c>
      <c r="G69" s="2" t="s">
        <v>70</v>
      </c>
      <c r="H69" s="2" t="s">
        <v>33</v>
      </c>
      <c r="I69" s="2" t="s">
        <v>45</v>
      </c>
      <c r="J69" s="3">
        <v>1290</v>
      </c>
      <c r="K69" s="5" t="s">
        <v>46</v>
      </c>
    </row>
    <row r="70" spans="1:11" ht="15.5" hidden="1" thickTop="1" thickBot="1" x14ac:dyDescent="0.4">
      <c r="A70" s="4" t="s">
        <v>11</v>
      </c>
      <c r="B70" s="2" t="s">
        <v>12</v>
      </c>
      <c r="C70" s="2" t="s">
        <v>28</v>
      </c>
      <c r="D70" s="2" t="s">
        <v>216</v>
      </c>
      <c r="E70" s="2" t="s">
        <v>217</v>
      </c>
      <c r="F70" s="2" t="s">
        <v>49</v>
      </c>
      <c r="G70" s="2" t="s">
        <v>218</v>
      </c>
      <c r="H70" s="2" t="s">
        <v>33</v>
      </c>
      <c r="I70" s="2" t="s">
        <v>19</v>
      </c>
      <c r="J70" s="3">
        <v>28810</v>
      </c>
      <c r="K70" s="5" t="s">
        <v>219</v>
      </c>
    </row>
    <row r="71" spans="1:11" ht="15.5" hidden="1" thickTop="1" thickBot="1" x14ac:dyDescent="0.4">
      <c r="A71" s="4" t="s">
        <v>11</v>
      </c>
      <c r="B71" s="2" t="s">
        <v>12</v>
      </c>
      <c r="C71" s="2" t="s">
        <v>63</v>
      </c>
      <c r="D71" s="2" t="s">
        <v>164</v>
      </c>
      <c r="E71" s="2" t="s">
        <v>254</v>
      </c>
      <c r="F71" s="2" t="s">
        <v>225</v>
      </c>
      <c r="G71" s="2" t="s">
        <v>70</v>
      </c>
      <c r="H71" s="2" t="s">
        <v>33</v>
      </c>
      <c r="I71" s="2" t="s">
        <v>19</v>
      </c>
      <c r="J71" s="3">
        <v>5320</v>
      </c>
      <c r="K71" s="5" t="s">
        <v>46</v>
      </c>
    </row>
    <row r="72" spans="1:11" ht="15.5" thickTop="1" thickBot="1" x14ac:dyDescent="0.4">
      <c r="A72" s="4" t="s">
        <v>11</v>
      </c>
      <c r="B72" s="2" t="s">
        <v>12</v>
      </c>
      <c r="C72" s="2" t="s">
        <v>28</v>
      </c>
      <c r="D72" s="2" t="s">
        <v>255</v>
      </c>
      <c r="E72" s="2" t="s">
        <v>167</v>
      </c>
      <c r="F72" s="2" t="s">
        <v>24</v>
      </c>
      <c r="G72" s="2" t="s">
        <v>70</v>
      </c>
      <c r="H72" s="2" t="s">
        <v>44</v>
      </c>
      <c r="I72" s="2" t="s">
        <v>45</v>
      </c>
      <c r="J72" s="2">
        <v>30</v>
      </c>
      <c r="K72" s="5" t="s">
        <v>46</v>
      </c>
    </row>
    <row r="73" spans="1:11" ht="15.5" hidden="1" thickTop="1" thickBot="1" x14ac:dyDescent="0.4">
      <c r="A73" s="4" t="s">
        <v>11</v>
      </c>
      <c r="B73" s="2" t="s">
        <v>12</v>
      </c>
      <c r="C73" s="2" t="s">
        <v>63</v>
      </c>
      <c r="D73" s="2" t="s">
        <v>68</v>
      </c>
      <c r="E73" s="2" t="s">
        <v>65</v>
      </c>
      <c r="F73" s="2" t="s">
        <v>69</v>
      </c>
      <c r="G73" s="2" t="s">
        <v>70</v>
      </c>
      <c r="H73" s="2" t="s">
        <v>33</v>
      </c>
      <c r="I73" s="2" t="s">
        <v>19</v>
      </c>
      <c r="J73" s="3">
        <v>5550</v>
      </c>
      <c r="K73" s="5" t="s">
        <v>46</v>
      </c>
    </row>
    <row r="74" spans="1:11" ht="15.5" thickTop="1" thickBot="1" x14ac:dyDescent="0.4">
      <c r="A74" s="4" t="s">
        <v>11</v>
      </c>
      <c r="B74" s="2" t="s">
        <v>12</v>
      </c>
      <c r="C74" s="2" t="s">
        <v>63</v>
      </c>
      <c r="D74" s="2" t="s">
        <v>256</v>
      </c>
      <c r="E74" s="2" t="s">
        <v>65</v>
      </c>
      <c r="F74" s="2" t="s">
        <v>37</v>
      </c>
      <c r="G74" s="2" t="s">
        <v>50</v>
      </c>
      <c r="H74" s="2" t="s">
        <v>44</v>
      </c>
      <c r="I74" s="2" t="s">
        <v>45</v>
      </c>
      <c r="J74" s="2">
        <v>45</v>
      </c>
      <c r="K74" s="5" t="s">
        <v>46</v>
      </c>
    </row>
    <row r="75" spans="1:11" ht="15.5" hidden="1" thickTop="1" thickBot="1" x14ac:dyDescent="0.4">
      <c r="A75" s="4" t="s">
        <v>11</v>
      </c>
      <c r="B75" s="2" t="s">
        <v>12</v>
      </c>
      <c r="C75" s="2" t="s">
        <v>28</v>
      </c>
      <c r="D75" s="2" t="s">
        <v>71</v>
      </c>
      <c r="E75" s="2" t="s">
        <v>257</v>
      </c>
      <c r="F75" s="2" t="s">
        <v>141</v>
      </c>
      <c r="G75" s="2" t="s">
        <v>73</v>
      </c>
      <c r="H75" s="2" t="s">
        <v>33</v>
      </c>
      <c r="I75" s="2" t="s">
        <v>19</v>
      </c>
      <c r="J75" s="3">
        <v>103070</v>
      </c>
      <c r="K75" s="5" t="s">
        <v>258</v>
      </c>
    </row>
    <row r="76" spans="1:11" ht="15.5" hidden="1" thickTop="1" thickBot="1" x14ac:dyDescent="0.4">
      <c r="A76" s="4" t="s">
        <v>11</v>
      </c>
      <c r="B76" s="2" t="s">
        <v>12</v>
      </c>
      <c r="C76" s="2" t="s">
        <v>28</v>
      </c>
      <c r="D76" s="2" t="s">
        <v>259</v>
      </c>
      <c r="E76" s="2" t="s">
        <v>260</v>
      </c>
      <c r="F76" s="2" t="s">
        <v>31</v>
      </c>
      <c r="G76" s="2" t="s">
        <v>147</v>
      </c>
      <c r="H76" s="2" t="s">
        <v>18</v>
      </c>
      <c r="I76" s="2" t="s">
        <v>19</v>
      </c>
      <c r="J76" s="3">
        <v>865416</v>
      </c>
      <c r="K76" s="5" t="s">
        <v>261</v>
      </c>
    </row>
    <row r="77" spans="1:11" ht="15.5" hidden="1" thickTop="1" thickBot="1" x14ac:dyDescent="0.4">
      <c r="A77" s="4" t="s">
        <v>57</v>
      </c>
      <c r="B77" s="2" t="s">
        <v>12</v>
      </c>
      <c r="C77" s="2" t="s">
        <v>28</v>
      </c>
      <c r="D77" s="2" t="s">
        <v>262</v>
      </c>
      <c r="E77" s="2" t="s">
        <v>263</v>
      </c>
      <c r="F77" s="2" t="s">
        <v>69</v>
      </c>
      <c r="G77" s="2" t="s">
        <v>264</v>
      </c>
      <c r="H77" s="2" t="s">
        <v>33</v>
      </c>
      <c r="I77" s="2" t="s">
        <v>45</v>
      </c>
      <c r="J77" s="2">
        <v>530</v>
      </c>
      <c r="K77" s="5" t="s">
        <v>46</v>
      </c>
    </row>
    <row r="78" spans="1:11" ht="15.5" hidden="1" thickTop="1" thickBot="1" x14ac:dyDescent="0.4">
      <c r="A78" s="4" t="s">
        <v>11</v>
      </c>
      <c r="B78" s="2" t="s">
        <v>12</v>
      </c>
      <c r="C78" s="2" t="s">
        <v>13</v>
      </c>
      <c r="D78" s="2" t="s">
        <v>265</v>
      </c>
      <c r="E78" s="2" t="s">
        <v>266</v>
      </c>
      <c r="F78" s="2" t="s">
        <v>31</v>
      </c>
      <c r="G78" s="2" t="s">
        <v>267</v>
      </c>
      <c r="H78" s="2" t="s">
        <v>33</v>
      </c>
      <c r="I78" s="2" t="s">
        <v>45</v>
      </c>
      <c r="J78" s="2">
        <v>900</v>
      </c>
      <c r="K78" s="5" t="s">
        <v>268</v>
      </c>
    </row>
    <row r="79" spans="1:11" ht="15.5" hidden="1" thickTop="1" thickBot="1" x14ac:dyDescent="0.4">
      <c r="A79" s="4" t="s">
        <v>11</v>
      </c>
      <c r="B79" s="2" t="s">
        <v>12</v>
      </c>
      <c r="C79" s="2" t="s">
        <v>63</v>
      </c>
      <c r="D79" s="2" t="s">
        <v>269</v>
      </c>
      <c r="E79" s="2" t="s">
        <v>270</v>
      </c>
      <c r="F79" s="2" t="s">
        <v>31</v>
      </c>
      <c r="G79" s="2" t="s">
        <v>271</v>
      </c>
      <c r="H79" s="2" t="s">
        <v>33</v>
      </c>
      <c r="I79" s="2" t="s">
        <v>19</v>
      </c>
      <c r="J79" s="3">
        <v>108670</v>
      </c>
      <c r="K79" s="5" t="s">
        <v>62</v>
      </c>
    </row>
    <row r="80" spans="1:11" ht="15.5" hidden="1" thickTop="1" thickBot="1" x14ac:dyDescent="0.4">
      <c r="A80" s="4" t="s">
        <v>11</v>
      </c>
      <c r="B80" s="2" t="s">
        <v>12</v>
      </c>
      <c r="C80" s="2" t="s">
        <v>13</v>
      </c>
      <c r="D80" s="2" t="s">
        <v>272</v>
      </c>
      <c r="E80" s="2" t="s">
        <v>273</v>
      </c>
      <c r="F80" s="2" t="s">
        <v>69</v>
      </c>
      <c r="G80" s="2" t="s">
        <v>38</v>
      </c>
      <c r="H80" s="2" t="s">
        <v>33</v>
      </c>
      <c r="I80" s="2" t="s">
        <v>19</v>
      </c>
      <c r="J80" s="3">
        <v>2760</v>
      </c>
      <c r="K80" s="5" t="s">
        <v>46</v>
      </c>
    </row>
    <row r="81" spans="1:11" ht="15.5" thickTop="1" thickBot="1" x14ac:dyDescent="0.4">
      <c r="A81" s="4" t="s">
        <v>11</v>
      </c>
      <c r="B81" s="2" t="s">
        <v>12</v>
      </c>
      <c r="C81" s="2" t="s">
        <v>13</v>
      </c>
      <c r="D81" s="2" t="s">
        <v>274</v>
      </c>
      <c r="E81" s="2" t="s">
        <v>275</v>
      </c>
      <c r="F81" s="2" t="s">
        <v>276</v>
      </c>
      <c r="G81" s="2" t="s">
        <v>70</v>
      </c>
      <c r="H81" s="2" t="s">
        <v>44</v>
      </c>
      <c r="I81" s="2" t="s">
        <v>45</v>
      </c>
      <c r="J81" s="2">
        <v>780</v>
      </c>
      <c r="K81" s="5" t="s">
        <v>46</v>
      </c>
    </row>
    <row r="82" spans="1:11" ht="15.5" thickTop="1" thickBot="1" x14ac:dyDescent="0.4">
      <c r="A82" s="4" t="s">
        <v>11</v>
      </c>
      <c r="B82" s="2" t="s">
        <v>12</v>
      </c>
      <c r="C82" s="2" t="s">
        <v>28</v>
      </c>
      <c r="D82" s="2" t="s">
        <v>277</v>
      </c>
      <c r="E82" s="2" t="s">
        <v>278</v>
      </c>
      <c r="F82" s="2" t="s">
        <v>279</v>
      </c>
      <c r="G82" s="2" t="s">
        <v>73</v>
      </c>
      <c r="H82" s="2" t="s">
        <v>44</v>
      </c>
      <c r="I82" s="2" t="s">
        <v>19</v>
      </c>
      <c r="J82" s="3">
        <v>14090</v>
      </c>
      <c r="K82" s="5" t="s">
        <v>280</v>
      </c>
    </row>
    <row r="83" spans="1:11" ht="15.5" hidden="1" thickTop="1" thickBot="1" x14ac:dyDescent="0.4">
      <c r="A83" s="4" t="s">
        <v>11</v>
      </c>
      <c r="B83" s="2" t="s">
        <v>12</v>
      </c>
      <c r="C83" s="2" t="s">
        <v>28</v>
      </c>
      <c r="D83" s="2" t="s">
        <v>281</v>
      </c>
      <c r="E83" s="2" t="s">
        <v>167</v>
      </c>
      <c r="F83" s="2" t="s">
        <v>24</v>
      </c>
      <c r="G83" s="2" t="s">
        <v>38</v>
      </c>
      <c r="H83" s="2" t="s">
        <v>33</v>
      </c>
      <c r="I83" s="2" t="s">
        <v>45</v>
      </c>
      <c r="J83" s="2">
        <v>900</v>
      </c>
      <c r="K83" s="5" t="s">
        <v>282</v>
      </c>
    </row>
    <row r="84" spans="1:11" ht="15.5" hidden="1" thickTop="1" thickBot="1" x14ac:dyDescent="0.4">
      <c r="A84" s="4" t="s">
        <v>11</v>
      </c>
      <c r="B84" s="2" t="s">
        <v>21</v>
      </c>
      <c r="C84" s="2" t="s">
        <v>63</v>
      </c>
      <c r="D84" s="2" t="s">
        <v>283</v>
      </c>
      <c r="E84" s="2" t="s">
        <v>284</v>
      </c>
      <c r="F84" s="2" t="s">
        <v>24</v>
      </c>
      <c r="G84" s="2" t="s">
        <v>168</v>
      </c>
      <c r="H84" s="2" t="s">
        <v>33</v>
      </c>
      <c r="I84" s="2" t="s">
        <v>19</v>
      </c>
      <c r="J84" s="3">
        <v>2570</v>
      </c>
      <c r="K84" s="5" t="s">
        <v>285</v>
      </c>
    </row>
    <row r="85" spans="1:11" ht="15.5" hidden="1" thickTop="1" thickBot="1" x14ac:dyDescent="0.4">
      <c r="A85" s="4" t="s">
        <v>57</v>
      </c>
      <c r="B85" s="2" t="s">
        <v>12</v>
      </c>
      <c r="C85" s="2" t="s">
        <v>28</v>
      </c>
      <c r="D85" s="2" t="s">
        <v>286</v>
      </c>
      <c r="E85" s="2" t="s">
        <v>287</v>
      </c>
      <c r="F85" s="2" t="s">
        <v>37</v>
      </c>
      <c r="G85" s="2" t="s">
        <v>288</v>
      </c>
      <c r="H85" s="2" t="s">
        <v>33</v>
      </c>
      <c r="I85" s="2" t="s">
        <v>45</v>
      </c>
      <c r="J85" s="2">
        <v>900</v>
      </c>
      <c r="K85" s="5" t="s">
        <v>46</v>
      </c>
    </row>
    <row r="86" spans="1:11" ht="15.5" hidden="1" thickTop="1" thickBot="1" x14ac:dyDescent="0.4">
      <c r="A86" s="4" t="s">
        <v>11</v>
      </c>
      <c r="B86" s="2" t="s">
        <v>12</v>
      </c>
      <c r="C86" s="2" t="s">
        <v>28</v>
      </c>
      <c r="D86" s="2" t="s">
        <v>289</v>
      </c>
      <c r="E86" s="2" t="s">
        <v>290</v>
      </c>
      <c r="F86" s="2" t="s">
        <v>225</v>
      </c>
      <c r="G86" s="2" t="s">
        <v>291</v>
      </c>
      <c r="H86" s="2" t="s">
        <v>33</v>
      </c>
      <c r="I86" s="2" t="s">
        <v>45</v>
      </c>
      <c r="J86" s="3">
        <v>21690</v>
      </c>
      <c r="K86" s="5" t="s">
        <v>292</v>
      </c>
    </row>
    <row r="87" spans="1:11" ht="15.5" hidden="1" thickTop="1" thickBot="1" x14ac:dyDescent="0.4">
      <c r="A87" s="4" t="s">
        <v>11</v>
      </c>
      <c r="B87" s="2" t="s">
        <v>12</v>
      </c>
      <c r="C87" s="2" t="s">
        <v>63</v>
      </c>
      <c r="D87" s="2" t="s">
        <v>293</v>
      </c>
      <c r="E87" s="2" t="s">
        <v>65</v>
      </c>
      <c r="F87" s="2" t="s">
        <v>179</v>
      </c>
      <c r="G87" s="2" t="s">
        <v>294</v>
      </c>
      <c r="H87" s="2" t="s">
        <v>33</v>
      </c>
      <c r="I87" s="2" t="s">
        <v>45</v>
      </c>
      <c r="J87" s="2">
        <v>900</v>
      </c>
      <c r="K87" s="5" t="s">
        <v>46</v>
      </c>
    </row>
    <row r="88" spans="1:11" ht="15.5" hidden="1" thickTop="1" thickBot="1" x14ac:dyDescent="0.4">
      <c r="A88" s="4" t="s">
        <v>11</v>
      </c>
      <c r="B88" s="2" t="s">
        <v>12</v>
      </c>
      <c r="C88" s="2" t="s">
        <v>13</v>
      </c>
      <c r="D88" s="2" t="s">
        <v>295</v>
      </c>
      <c r="E88" s="2" t="s">
        <v>296</v>
      </c>
      <c r="F88" s="2" t="s">
        <v>179</v>
      </c>
      <c r="G88" s="2" t="s">
        <v>297</v>
      </c>
      <c r="H88" s="2" t="s">
        <v>33</v>
      </c>
      <c r="I88" s="2" t="s">
        <v>45</v>
      </c>
      <c r="J88" s="3">
        <v>2010</v>
      </c>
      <c r="K88" s="5" t="s">
        <v>46</v>
      </c>
    </row>
    <row r="89" spans="1:11" ht="15.5" hidden="1" thickTop="1" thickBot="1" x14ac:dyDescent="0.4">
      <c r="A89" s="4" t="s">
        <v>11</v>
      </c>
      <c r="B89" s="2" t="s">
        <v>12</v>
      </c>
      <c r="C89" s="2" t="s">
        <v>28</v>
      </c>
      <c r="D89" s="2" t="s">
        <v>298</v>
      </c>
      <c r="E89" s="2" t="s">
        <v>299</v>
      </c>
      <c r="F89" s="2" t="s">
        <v>300</v>
      </c>
      <c r="G89" s="2" t="s">
        <v>301</v>
      </c>
      <c r="H89" s="2" t="s">
        <v>33</v>
      </c>
      <c r="I89" s="2" t="s">
        <v>19</v>
      </c>
      <c r="J89" s="3">
        <v>24780</v>
      </c>
      <c r="K89" s="5" t="s">
        <v>302</v>
      </c>
    </row>
    <row r="90" spans="1:11" ht="15.5" hidden="1" thickTop="1" thickBot="1" x14ac:dyDescent="0.4">
      <c r="A90" s="4" t="s">
        <v>11</v>
      </c>
      <c r="B90" s="2" t="s">
        <v>12</v>
      </c>
      <c r="C90" s="2" t="s">
        <v>63</v>
      </c>
      <c r="D90" s="2" t="s">
        <v>303</v>
      </c>
      <c r="E90" s="2" t="s">
        <v>65</v>
      </c>
      <c r="F90" s="2" t="s">
        <v>225</v>
      </c>
      <c r="G90" s="2" t="s">
        <v>70</v>
      </c>
      <c r="H90" s="2" t="s">
        <v>33</v>
      </c>
      <c r="I90" s="2" t="s">
        <v>19</v>
      </c>
      <c r="J90" s="3">
        <v>4080</v>
      </c>
      <c r="K90" s="5" t="s">
        <v>46</v>
      </c>
    </row>
    <row r="91" spans="1:11" ht="15.5" hidden="1" thickTop="1" thickBot="1" x14ac:dyDescent="0.4">
      <c r="A91" s="4" t="s">
        <v>11</v>
      </c>
      <c r="B91" s="2" t="s">
        <v>12</v>
      </c>
      <c r="C91" s="2" t="s">
        <v>28</v>
      </c>
      <c r="D91" s="2" t="s">
        <v>304</v>
      </c>
      <c r="E91" s="2" t="s">
        <v>305</v>
      </c>
      <c r="F91" s="2" t="s">
        <v>306</v>
      </c>
      <c r="G91" s="2" t="s">
        <v>307</v>
      </c>
      <c r="H91" s="2" t="s">
        <v>33</v>
      </c>
      <c r="I91" s="2" t="s">
        <v>19</v>
      </c>
      <c r="J91" s="3">
        <v>52060</v>
      </c>
      <c r="K91" s="5" t="s">
        <v>308</v>
      </c>
    </row>
    <row r="92" spans="1:11" ht="15.5" hidden="1" thickTop="1" thickBot="1" x14ac:dyDescent="0.4">
      <c r="A92" s="4" t="s">
        <v>11</v>
      </c>
      <c r="B92" s="2" t="s">
        <v>12</v>
      </c>
      <c r="C92" s="2" t="s">
        <v>28</v>
      </c>
      <c r="D92" s="2" t="s">
        <v>309</v>
      </c>
      <c r="E92" s="2" t="s">
        <v>229</v>
      </c>
      <c r="F92" s="2" t="s">
        <v>24</v>
      </c>
      <c r="G92" s="2" t="s">
        <v>310</v>
      </c>
      <c r="H92" s="2" t="s">
        <v>33</v>
      </c>
      <c r="I92" s="2" t="s">
        <v>19</v>
      </c>
      <c r="J92" s="3">
        <v>524608</v>
      </c>
      <c r="K92" s="5" t="s">
        <v>311</v>
      </c>
    </row>
    <row r="93" spans="1:11" ht="15.5" hidden="1" thickTop="1" thickBot="1" x14ac:dyDescent="0.4">
      <c r="A93" s="4" t="s">
        <v>11</v>
      </c>
      <c r="B93" s="2" t="s">
        <v>12</v>
      </c>
      <c r="C93" s="2" t="s">
        <v>28</v>
      </c>
      <c r="D93" s="2" t="s">
        <v>312</v>
      </c>
      <c r="E93" s="2" t="s">
        <v>313</v>
      </c>
      <c r="F93" s="2" t="s">
        <v>31</v>
      </c>
      <c r="G93" s="2" t="s">
        <v>314</v>
      </c>
      <c r="H93" s="2" t="s">
        <v>33</v>
      </c>
      <c r="I93" s="2" t="s">
        <v>45</v>
      </c>
      <c r="J93" s="2">
        <v>126</v>
      </c>
      <c r="K93" s="5" t="s">
        <v>46</v>
      </c>
    </row>
    <row r="94" spans="1:11" ht="15.5" hidden="1" thickTop="1" thickBot="1" x14ac:dyDescent="0.4">
      <c r="A94" s="4" t="s">
        <v>11</v>
      </c>
      <c r="B94" s="2" t="s">
        <v>12</v>
      </c>
      <c r="C94" s="2" t="s">
        <v>28</v>
      </c>
      <c r="D94" s="2" t="s">
        <v>315</v>
      </c>
      <c r="E94" s="2" t="s">
        <v>41</v>
      </c>
      <c r="F94" s="2" t="s">
        <v>276</v>
      </c>
      <c r="G94" s="2" t="s">
        <v>288</v>
      </c>
      <c r="H94" s="2" t="s">
        <v>33</v>
      </c>
      <c r="I94" s="2" t="s">
        <v>19</v>
      </c>
      <c r="J94" s="3">
        <v>2790</v>
      </c>
      <c r="K94" s="5" t="s">
        <v>46</v>
      </c>
    </row>
    <row r="95" spans="1:11" ht="15.5" thickTop="1" thickBot="1" x14ac:dyDescent="0.4">
      <c r="A95" s="4" t="s">
        <v>11</v>
      </c>
      <c r="B95" s="2" t="s">
        <v>12</v>
      </c>
      <c r="C95" s="2" t="s">
        <v>28</v>
      </c>
      <c r="D95" s="2" t="s">
        <v>316</v>
      </c>
      <c r="E95" s="2" t="s">
        <v>317</v>
      </c>
      <c r="F95" s="2" t="s">
        <v>31</v>
      </c>
      <c r="G95" s="2" t="s">
        <v>318</v>
      </c>
      <c r="H95" s="2" t="s">
        <v>44</v>
      </c>
      <c r="I95" s="2" t="s">
        <v>19</v>
      </c>
      <c r="J95" s="3">
        <v>4010</v>
      </c>
      <c r="K95" s="5" t="s">
        <v>319</v>
      </c>
    </row>
    <row r="96" spans="1:11" ht="15.5" hidden="1" thickTop="1" thickBot="1" x14ac:dyDescent="0.4">
      <c r="A96" s="4" t="s">
        <v>11</v>
      </c>
      <c r="B96" s="2" t="s">
        <v>12</v>
      </c>
      <c r="C96" s="2" t="s">
        <v>28</v>
      </c>
      <c r="D96" s="2" t="s">
        <v>320</v>
      </c>
      <c r="E96" s="2" t="s">
        <v>321</v>
      </c>
      <c r="F96" s="2" t="s">
        <v>42</v>
      </c>
      <c r="G96" s="2" t="s">
        <v>322</v>
      </c>
      <c r="H96" s="2" t="s">
        <v>33</v>
      </c>
      <c r="I96" s="2" t="s">
        <v>19</v>
      </c>
      <c r="J96" s="3">
        <v>10100</v>
      </c>
      <c r="K96" s="5" t="s">
        <v>323</v>
      </c>
    </row>
    <row r="97" spans="1:11" ht="15.5" hidden="1" thickTop="1" thickBot="1" x14ac:dyDescent="0.4">
      <c r="A97" s="4" t="s">
        <v>11</v>
      </c>
      <c r="B97" s="2" t="s">
        <v>12</v>
      </c>
      <c r="C97" s="2" t="s">
        <v>13</v>
      </c>
      <c r="D97" s="2" t="s">
        <v>324</v>
      </c>
      <c r="E97" s="2" t="s">
        <v>325</v>
      </c>
      <c r="F97" s="2" t="s">
        <v>174</v>
      </c>
      <c r="G97" s="2" t="s">
        <v>326</v>
      </c>
      <c r="H97" s="2" t="s">
        <v>33</v>
      </c>
      <c r="I97" s="2" t="s">
        <v>45</v>
      </c>
      <c r="J97" s="2">
        <v>150</v>
      </c>
      <c r="K97" s="5" t="s">
        <v>327</v>
      </c>
    </row>
    <row r="98" spans="1:11" ht="15.5" hidden="1" thickTop="1" thickBot="1" x14ac:dyDescent="0.4">
      <c r="A98" s="4" t="s">
        <v>11</v>
      </c>
      <c r="B98" s="2" t="s">
        <v>75</v>
      </c>
      <c r="C98" s="2" t="s">
        <v>63</v>
      </c>
      <c r="D98" s="2" t="s">
        <v>328</v>
      </c>
      <c r="E98" s="2" t="s">
        <v>122</v>
      </c>
      <c r="F98" s="2" t="s">
        <v>37</v>
      </c>
      <c r="G98" s="2" t="s">
        <v>70</v>
      </c>
      <c r="H98" s="2" t="s">
        <v>33</v>
      </c>
      <c r="I98" s="2" t="s">
        <v>19</v>
      </c>
      <c r="J98" s="3">
        <v>1290</v>
      </c>
      <c r="K98" s="5" t="s">
        <v>329</v>
      </c>
    </row>
    <row r="99" spans="1:11" ht="15.5" thickTop="1" thickBot="1" x14ac:dyDescent="0.4">
      <c r="A99" s="4" t="s">
        <v>11</v>
      </c>
      <c r="B99" s="2" t="s">
        <v>12</v>
      </c>
      <c r="C99" s="2" t="s">
        <v>13</v>
      </c>
      <c r="D99" s="2" t="s">
        <v>330</v>
      </c>
      <c r="E99" s="2" t="s">
        <v>331</v>
      </c>
      <c r="F99" s="2" t="s">
        <v>31</v>
      </c>
      <c r="G99" s="2" t="s">
        <v>168</v>
      </c>
      <c r="H99" s="2" t="s">
        <v>44</v>
      </c>
      <c r="I99" s="2" t="s">
        <v>19</v>
      </c>
      <c r="J99" s="3">
        <v>9920</v>
      </c>
      <c r="K99" s="5" t="s">
        <v>332</v>
      </c>
    </row>
    <row r="100" spans="1:11" ht="15.5" hidden="1" thickTop="1" thickBot="1" x14ac:dyDescent="0.4">
      <c r="A100" s="4" t="s">
        <v>11</v>
      </c>
      <c r="B100" s="2" t="s">
        <v>12</v>
      </c>
      <c r="C100" s="2" t="s">
        <v>13</v>
      </c>
      <c r="D100" s="2" t="s">
        <v>333</v>
      </c>
      <c r="E100" s="2" t="s">
        <v>334</v>
      </c>
      <c r="F100" s="2" t="s">
        <v>24</v>
      </c>
      <c r="G100" s="2" t="s">
        <v>335</v>
      </c>
      <c r="H100" s="2" t="s">
        <v>33</v>
      </c>
      <c r="I100" s="2" t="s">
        <v>45</v>
      </c>
      <c r="J100" s="3">
        <v>3770</v>
      </c>
      <c r="K100" s="5" t="s">
        <v>336</v>
      </c>
    </row>
    <row r="101" spans="1:11" ht="15.5" hidden="1" thickTop="1" thickBot="1" x14ac:dyDescent="0.4">
      <c r="A101" s="4" t="s">
        <v>11</v>
      </c>
      <c r="B101" s="2" t="s">
        <v>12</v>
      </c>
      <c r="C101" s="2" t="s">
        <v>28</v>
      </c>
      <c r="D101" s="2" t="s">
        <v>337</v>
      </c>
      <c r="E101" s="2" t="s">
        <v>48</v>
      </c>
      <c r="F101" s="2" t="s">
        <v>37</v>
      </c>
      <c r="G101" s="2" t="s">
        <v>50</v>
      </c>
      <c r="H101" s="2" t="s">
        <v>18</v>
      </c>
      <c r="I101" s="2" t="s">
        <v>19</v>
      </c>
      <c r="J101" s="3">
        <v>130040</v>
      </c>
      <c r="K101" s="5" t="s">
        <v>62</v>
      </c>
    </row>
    <row r="102" spans="1:11" ht="15.5" hidden="1" thickTop="1" thickBot="1" x14ac:dyDescent="0.4">
      <c r="A102" s="4" t="s">
        <v>11</v>
      </c>
      <c r="B102" s="2" t="s">
        <v>12</v>
      </c>
      <c r="C102" s="2" t="s">
        <v>63</v>
      </c>
      <c r="D102" s="2" t="s">
        <v>338</v>
      </c>
      <c r="E102" s="2" t="s">
        <v>339</v>
      </c>
      <c r="F102" s="2" t="s">
        <v>179</v>
      </c>
      <c r="G102" s="2" t="s">
        <v>291</v>
      </c>
      <c r="H102" s="2" t="s">
        <v>33</v>
      </c>
      <c r="I102" s="2" t="s">
        <v>19</v>
      </c>
      <c r="J102" s="3">
        <v>97010</v>
      </c>
      <c r="K102" s="5" t="s">
        <v>340</v>
      </c>
    </row>
    <row r="103" spans="1:11" ht="15.5" hidden="1" thickTop="1" thickBot="1" x14ac:dyDescent="0.4">
      <c r="A103" s="4" t="s">
        <v>11</v>
      </c>
      <c r="B103" s="2" t="s">
        <v>12</v>
      </c>
      <c r="C103" s="2" t="s">
        <v>13</v>
      </c>
      <c r="D103" s="2" t="s">
        <v>341</v>
      </c>
      <c r="E103" s="2" t="s">
        <v>189</v>
      </c>
      <c r="F103" s="2" t="s">
        <v>37</v>
      </c>
      <c r="G103" s="2" t="s">
        <v>50</v>
      </c>
      <c r="H103" s="2" t="s">
        <v>33</v>
      </c>
      <c r="I103" s="2" t="s">
        <v>19</v>
      </c>
      <c r="J103" s="2">
        <v>830</v>
      </c>
      <c r="K103" s="5" t="s">
        <v>342</v>
      </c>
    </row>
    <row r="104" spans="1:11" ht="15.5" hidden="1" thickTop="1" thickBot="1" x14ac:dyDescent="0.4">
      <c r="A104" s="4" t="s">
        <v>11</v>
      </c>
      <c r="B104" s="2" t="s">
        <v>75</v>
      </c>
      <c r="C104" s="2" t="s">
        <v>63</v>
      </c>
      <c r="D104" s="2" t="s">
        <v>343</v>
      </c>
      <c r="E104" s="2" t="s">
        <v>167</v>
      </c>
      <c r="F104" s="2" t="s">
        <v>31</v>
      </c>
      <c r="G104" s="2" t="s">
        <v>344</v>
      </c>
      <c r="H104" s="2" t="s">
        <v>33</v>
      </c>
      <c r="I104" s="2" t="s">
        <v>45</v>
      </c>
      <c r="J104" s="2">
        <v>15</v>
      </c>
      <c r="K104" s="5" t="s">
        <v>345</v>
      </c>
    </row>
    <row r="105" spans="1:11" ht="15.5" hidden="1" thickTop="1" thickBot="1" x14ac:dyDescent="0.4">
      <c r="A105" s="4" t="s">
        <v>11</v>
      </c>
      <c r="B105" s="2" t="s">
        <v>12</v>
      </c>
      <c r="C105" s="2" t="s">
        <v>28</v>
      </c>
      <c r="D105" s="2" t="s">
        <v>346</v>
      </c>
      <c r="E105" s="2" t="s">
        <v>347</v>
      </c>
      <c r="F105" s="2" t="s">
        <v>42</v>
      </c>
      <c r="G105" s="2" t="s">
        <v>180</v>
      </c>
      <c r="H105" s="2" t="s">
        <v>116</v>
      </c>
      <c r="I105" s="2" t="s">
        <v>19</v>
      </c>
      <c r="J105" s="3">
        <v>35020</v>
      </c>
      <c r="K105" s="5" t="s">
        <v>348</v>
      </c>
    </row>
    <row r="106" spans="1:11" ht="15.5" thickTop="1" thickBot="1" x14ac:dyDescent="0.4">
      <c r="A106" s="4" t="s">
        <v>11</v>
      </c>
      <c r="B106" s="2" t="s">
        <v>12</v>
      </c>
      <c r="C106" s="2" t="s">
        <v>13</v>
      </c>
      <c r="D106" s="2" t="s">
        <v>349</v>
      </c>
      <c r="E106" s="2" t="s">
        <v>13</v>
      </c>
      <c r="F106" s="2" t="s">
        <v>350</v>
      </c>
      <c r="G106" s="2" t="s">
        <v>70</v>
      </c>
      <c r="H106" s="2" t="s">
        <v>44</v>
      </c>
      <c r="I106" s="2" t="s">
        <v>45</v>
      </c>
      <c r="J106" s="2">
        <v>890</v>
      </c>
      <c r="K106" s="5" t="s">
        <v>46</v>
      </c>
    </row>
    <row r="107" spans="1:11" ht="15.5" hidden="1" thickTop="1" thickBot="1" x14ac:dyDescent="0.4">
      <c r="A107" s="4" t="s">
        <v>11</v>
      </c>
      <c r="B107" s="2" t="s">
        <v>12</v>
      </c>
      <c r="C107" s="2" t="s">
        <v>28</v>
      </c>
      <c r="D107" s="2" t="s">
        <v>351</v>
      </c>
      <c r="E107" s="2" t="s">
        <v>352</v>
      </c>
      <c r="F107" s="2" t="s">
        <v>353</v>
      </c>
      <c r="G107" s="2" t="s">
        <v>354</v>
      </c>
      <c r="H107" s="2" t="s">
        <v>33</v>
      </c>
      <c r="I107" s="2" t="s">
        <v>45</v>
      </c>
      <c r="J107" s="2">
        <v>180</v>
      </c>
      <c r="K107" s="5" t="s">
        <v>46</v>
      </c>
    </row>
    <row r="108" spans="1:11" ht="15.5" hidden="1" thickTop="1" thickBot="1" x14ac:dyDescent="0.4">
      <c r="A108" s="4" t="s">
        <v>11</v>
      </c>
      <c r="B108" s="2" t="s">
        <v>21</v>
      </c>
      <c r="C108" s="2" t="s">
        <v>13</v>
      </c>
      <c r="D108" s="2" t="s">
        <v>355</v>
      </c>
      <c r="E108" s="2" t="s">
        <v>356</v>
      </c>
      <c r="F108" s="2" t="s">
        <v>24</v>
      </c>
      <c r="G108" s="2" t="s">
        <v>111</v>
      </c>
      <c r="H108" s="2" t="s">
        <v>33</v>
      </c>
      <c r="I108" s="2" t="s">
        <v>19</v>
      </c>
      <c r="J108" s="3">
        <v>19470</v>
      </c>
      <c r="K108" s="5" t="s">
        <v>357</v>
      </c>
    </row>
    <row r="109" spans="1:11" ht="15.5" hidden="1" thickTop="1" thickBot="1" x14ac:dyDescent="0.4">
      <c r="A109" s="4" t="s">
        <v>11</v>
      </c>
      <c r="B109" s="2" t="s">
        <v>21</v>
      </c>
      <c r="C109" s="2" t="s">
        <v>13</v>
      </c>
      <c r="D109" s="2" t="s">
        <v>358</v>
      </c>
      <c r="E109" s="2" t="s">
        <v>359</v>
      </c>
      <c r="F109" s="2" t="s">
        <v>69</v>
      </c>
      <c r="G109" s="2" t="s">
        <v>360</v>
      </c>
      <c r="H109" s="2" t="s">
        <v>33</v>
      </c>
      <c r="I109" s="2" t="s">
        <v>45</v>
      </c>
      <c r="J109" s="3">
        <v>1230</v>
      </c>
      <c r="K109" s="5" t="s">
        <v>46</v>
      </c>
    </row>
    <row r="110" spans="1:11" ht="15.5" hidden="1" thickTop="1" thickBot="1" x14ac:dyDescent="0.4">
      <c r="A110" s="4" t="s">
        <v>11</v>
      </c>
      <c r="B110" s="2" t="s">
        <v>12</v>
      </c>
      <c r="C110" s="2" t="s">
        <v>28</v>
      </c>
      <c r="D110" s="2" t="s">
        <v>361</v>
      </c>
      <c r="E110" s="2" t="s">
        <v>362</v>
      </c>
      <c r="F110" s="2" t="s">
        <v>95</v>
      </c>
      <c r="G110" s="2" t="s">
        <v>363</v>
      </c>
      <c r="H110" s="2" t="s">
        <v>33</v>
      </c>
      <c r="I110" s="2" t="s">
        <v>19</v>
      </c>
      <c r="J110" s="3">
        <v>40060</v>
      </c>
      <c r="K110" s="5" t="s">
        <v>364</v>
      </c>
    </row>
    <row r="111" spans="1:11" ht="15.5" hidden="1" thickTop="1" thickBot="1" x14ac:dyDescent="0.4">
      <c r="A111" s="4" t="s">
        <v>11</v>
      </c>
      <c r="B111" s="2" t="s">
        <v>12</v>
      </c>
      <c r="C111" s="2" t="s">
        <v>63</v>
      </c>
      <c r="D111" s="2" t="s">
        <v>365</v>
      </c>
      <c r="E111" s="2" t="s">
        <v>97</v>
      </c>
      <c r="F111" s="2" t="s">
        <v>37</v>
      </c>
      <c r="G111" s="2" t="s">
        <v>50</v>
      </c>
      <c r="H111" s="2" t="s">
        <v>33</v>
      </c>
      <c r="I111" s="2" t="s">
        <v>45</v>
      </c>
      <c r="J111" s="3">
        <v>1270</v>
      </c>
      <c r="K111" s="5" t="s">
        <v>366</v>
      </c>
    </row>
    <row r="112" spans="1:11" ht="15.5" hidden="1" thickTop="1" thickBot="1" x14ac:dyDescent="0.4">
      <c r="A112" s="4" t="s">
        <v>367</v>
      </c>
      <c r="B112" s="2" t="s">
        <v>75</v>
      </c>
      <c r="C112" s="2" t="s">
        <v>63</v>
      </c>
      <c r="D112" s="2" t="s">
        <v>368</v>
      </c>
      <c r="E112" s="2" t="s">
        <v>369</v>
      </c>
      <c r="F112" s="2" t="s">
        <v>24</v>
      </c>
      <c r="G112" s="2" t="s">
        <v>370</v>
      </c>
      <c r="H112" s="2" t="s">
        <v>88</v>
      </c>
      <c r="I112" s="2" t="s">
        <v>19</v>
      </c>
      <c r="J112" s="3">
        <v>82020</v>
      </c>
      <c r="K112" s="5" t="s">
        <v>136</v>
      </c>
    </row>
    <row r="113" spans="1:11" ht="15.5" hidden="1" thickTop="1" thickBot="1" x14ac:dyDescent="0.4">
      <c r="A113" s="4" t="s">
        <v>11</v>
      </c>
      <c r="B113" s="2" t="s">
        <v>12</v>
      </c>
      <c r="C113" s="2" t="s">
        <v>63</v>
      </c>
      <c r="D113" s="2" t="s">
        <v>371</v>
      </c>
      <c r="E113" s="2" t="s">
        <v>372</v>
      </c>
      <c r="F113" s="2" t="s">
        <v>279</v>
      </c>
      <c r="G113" s="2" t="s">
        <v>67</v>
      </c>
      <c r="H113" s="2" t="s">
        <v>33</v>
      </c>
      <c r="I113" s="2" t="s">
        <v>19</v>
      </c>
      <c r="J113" s="3">
        <v>222500</v>
      </c>
      <c r="K113" s="5" t="s">
        <v>373</v>
      </c>
    </row>
    <row r="114" spans="1:11" ht="15.5" hidden="1" thickTop="1" thickBot="1" x14ac:dyDescent="0.4">
      <c r="A114" s="4" t="s">
        <v>57</v>
      </c>
      <c r="B114" s="2" t="s">
        <v>12</v>
      </c>
      <c r="C114" s="2" t="s">
        <v>28</v>
      </c>
      <c r="D114" s="2" t="s">
        <v>374</v>
      </c>
      <c r="E114" s="2" t="s">
        <v>375</v>
      </c>
      <c r="F114" s="2" t="s">
        <v>104</v>
      </c>
      <c r="G114" s="2" t="s">
        <v>70</v>
      </c>
      <c r="H114" s="2" t="s">
        <v>33</v>
      </c>
      <c r="I114" s="2" t="s">
        <v>45</v>
      </c>
      <c r="J114" s="2">
        <v>580</v>
      </c>
      <c r="K114" s="5" t="s">
        <v>46</v>
      </c>
    </row>
    <row r="115" spans="1:11" ht="15.5" hidden="1" thickTop="1" thickBot="1" x14ac:dyDescent="0.4">
      <c r="A115" s="4" t="s">
        <v>11</v>
      </c>
      <c r="B115" s="2" t="s">
        <v>21</v>
      </c>
      <c r="C115" s="2" t="s">
        <v>13</v>
      </c>
      <c r="D115" s="2" t="s">
        <v>376</v>
      </c>
      <c r="E115" s="2" t="s">
        <v>240</v>
      </c>
      <c r="F115" s="2" t="s">
        <v>37</v>
      </c>
      <c r="G115" s="2" t="s">
        <v>50</v>
      </c>
      <c r="H115" s="2" t="s">
        <v>33</v>
      </c>
      <c r="I115" s="2" t="s">
        <v>45</v>
      </c>
      <c r="J115" s="2">
        <v>900</v>
      </c>
      <c r="K115" s="5" t="s">
        <v>377</v>
      </c>
    </row>
    <row r="116" spans="1:11" ht="15.5" hidden="1" thickTop="1" thickBot="1" x14ac:dyDescent="0.4">
      <c r="A116" s="4" t="s">
        <v>11</v>
      </c>
      <c r="B116" s="2" t="s">
        <v>12</v>
      </c>
      <c r="C116" s="2" t="s">
        <v>63</v>
      </c>
      <c r="D116" s="2" t="s">
        <v>378</v>
      </c>
      <c r="E116" s="2" t="s">
        <v>379</v>
      </c>
      <c r="F116" s="2" t="s">
        <v>245</v>
      </c>
      <c r="G116" s="2" t="s">
        <v>50</v>
      </c>
      <c r="H116" s="2" t="s">
        <v>33</v>
      </c>
      <c r="I116" s="2" t="s">
        <v>19</v>
      </c>
      <c r="J116" s="3">
        <v>10010</v>
      </c>
      <c r="K116" s="5" t="s">
        <v>380</v>
      </c>
    </row>
    <row r="117" spans="1:11" ht="15.5" hidden="1" thickTop="1" thickBot="1" x14ac:dyDescent="0.4">
      <c r="A117" s="4" t="s">
        <v>11</v>
      </c>
      <c r="B117" s="2" t="s">
        <v>12</v>
      </c>
      <c r="C117" s="2" t="s">
        <v>13</v>
      </c>
      <c r="D117" s="2" t="s">
        <v>196</v>
      </c>
      <c r="E117" s="2" t="s">
        <v>197</v>
      </c>
      <c r="F117" s="2" t="s">
        <v>279</v>
      </c>
      <c r="G117" s="2" t="s">
        <v>111</v>
      </c>
      <c r="H117" s="2" t="s">
        <v>33</v>
      </c>
      <c r="I117" s="2" t="s">
        <v>19</v>
      </c>
      <c r="J117" s="3">
        <v>24030</v>
      </c>
      <c r="K117" s="5" t="s">
        <v>198</v>
      </c>
    </row>
    <row r="118" spans="1:11" ht="15.5" hidden="1" thickTop="1" thickBot="1" x14ac:dyDescent="0.4">
      <c r="A118" s="4" t="s">
        <v>11</v>
      </c>
      <c r="B118" s="2" t="s">
        <v>12</v>
      </c>
      <c r="C118" s="2" t="s">
        <v>63</v>
      </c>
      <c r="D118" s="2" t="s">
        <v>381</v>
      </c>
      <c r="E118" s="2" t="s">
        <v>65</v>
      </c>
      <c r="F118" s="2" t="s">
        <v>141</v>
      </c>
      <c r="G118" s="2" t="s">
        <v>70</v>
      </c>
      <c r="H118" s="2" t="s">
        <v>18</v>
      </c>
      <c r="I118" s="2" t="s">
        <v>45</v>
      </c>
      <c r="J118" s="3">
        <v>12300</v>
      </c>
      <c r="K118" s="5" t="s">
        <v>46</v>
      </c>
    </row>
    <row r="119" spans="1:11" ht="15.5" hidden="1" thickTop="1" thickBot="1" x14ac:dyDescent="0.4">
      <c r="A119" s="4" t="s">
        <v>11</v>
      </c>
      <c r="B119" s="2" t="s">
        <v>12</v>
      </c>
      <c r="C119" s="2" t="s">
        <v>28</v>
      </c>
      <c r="D119" s="2" t="s">
        <v>382</v>
      </c>
      <c r="E119" s="2" t="s">
        <v>383</v>
      </c>
      <c r="F119" s="2" t="s">
        <v>353</v>
      </c>
      <c r="G119" s="2" t="s">
        <v>384</v>
      </c>
      <c r="H119" s="2" t="s">
        <v>56</v>
      </c>
      <c r="I119" s="2" t="s">
        <v>19</v>
      </c>
      <c r="J119" s="3">
        <v>9320</v>
      </c>
      <c r="K119" s="5" t="s">
        <v>125</v>
      </c>
    </row>
    <row r="120" spans="1:11" ht="15.5" hidden="1" thickTop="1" thickBot="1" x14ac:dyDescent="0.4">
      <c r="A120" s="4" t="s">
        <v>11</v>
      </c>
      <c r="B120" s="2" t="s">
        <v>12</v>
      </c>
      <c r="C120" s="2" t="s">
        <v>28</v>
      </c>
      <c r="D120" s="2" t="s">
        <v>385</v>
      </c>
      <c r="E120" s="2" t="s">
        <v>233</v>
      </c>
      <c r="F120" s="2" t="s">
        <v>24</v>
      </c>
      <c r="G120" s="2" t="s">
        <v>267</v>
      </c>
      <c r="H120" s="2" t="s">
        <v>88</v>
      </c>
      <c r="I120" s="2" t="s">
        <v>19</v>
      </c>
      <c r="J120" s="3">
        <v>24020</v>
      </c>
      <c r="K120" s="5" t="s">
        <v>386</v>
      </c>
    </row>
    <row r="121" spans="1:11" ht="15.5" hidden="1" thickTop="1" thickBot="1" x14ac:dyDescent="0.4">
      <c r="A121" s="4" t="s">
        <v>11</v>
      </c>
      <c r="B121" s="2" t="s">
        <v>12</v>
      </c>
      <c r="C121" s="2" t="s">
        <v>13</v>
      </c>
      <c r="D121" s="2" t="s">
        <v>137</v>
      </c>
      <c r="E121" s="2" t="s">
        <v>387</v>
      </c>
      <c r="F121" s="2" t="s">
        <v>353</v>
      </c>
      <c r="G121" s="2" t="s">
        <v>70</v>
      </c>
      <c r="H121" s="2" t="s">
        <v>33</v>
      </c>
      <c r="I121" s="2" t="s">
        <v>19</v>
      </c>
      <c r="J121" s="3">
        <v>26910</v>
      </c>
      <c r="K121" s="5" t="s">
        <v>39</v>
      </c>
    </row>
    <row r="122" spans="1:11" ht="15.5" hidden="1" thickTop="1" thickBot="1" x14ac:dyDescent="0.4">
      <c r="A122" s="4" t="s">
        <v>11</v>
      </c>
      <c r="B122" s="2" t="s">
        <v>75</v>
      </c>
      <c r="C122" s="2" t="s">
        <v>28</v>
      </c>
      <c r="D122" s="2" t="s">
        <v>388</v>
      </c>
      <c r="E122" s="2" t="s">
        <v>389</v>
      </c>
      <c r="F122" s="2" t="s">
        <v>66</v>
      </c>
      <c r="G122" s="2" t="s">
        <v>390</v>
      </c>
      <c r="H122" s="2" t="s">
        <v>88</v>
      </c>
      <c r="I122" s="2" t="s">
        <v>19</v>
      </c>
      <c r="J122" s="3">
        <v>49360</v>
      </c>
      <c r="K122" s="5" t="s">
        <v>46</v>
      </c>
    </row>
    <row r="123" spans="1:11" ht="15.5" hidden="1" thickTop="1" thickBot="1" x14ac:dyDescent="0.4">
      <c r="A123" s="4" t="s">
        <v>11</v>
      </c>
      <c r="B123" s="2" t="s">
        <v>12</v>
      </c>
      <c r="C123" s="2" t="s">
        <v>28</v>
      </c>
      <c r="D123" s="2" t="s">
        <v>391</v>
      </c>
      <c r="E123" s="2" t="s">
        <v>392</v>
      </c>
      <c r="F123" s="2" t="s">
        <v>146</v>
      </c>
      <c r="G123" s="2" t="s">
        <v>393</v>
      </c>
      <c r="H123" s="2" t="s">
        <v>88</v>
      </c>
      <c r="I123" s="2" t="s">
        <v>19</v>
      </c>
      <c r="J123" s="3">
        <v>78750</v>
      </c>
      <c r="K123" s="5" t="s">
        <v>187</v>
      </c>
    </row>
    <row r="124" spans="1:11" ht="15.5" hidden="1" thickTop="1" thickBot="1" x14ac:dyDescent="0.4">
      <c r="A124" s="4" t="s">
        <v>11</v>
      </c>
      <c r="B124" s="2" t="s">
        <v>12</v>
      </c>
      <c r="C124" s="2" t="s">
        <v>63</v>
      </c>
      <c r="D124" s="2" t="s">
        <v>394</v>
      </c>
      <c r="E124" s="2" t="s">
        <v>167</v>
      </c>
      <c r="F124" s="2" t="s">
        <v>279</v>
      </c>
      <c r="G124" s="2" t="s">
        <v>395</v>
      </c>
      <c r="H124" s="2" t="s">
        <v>33</v>
      </c>
      <c r="I124" s="2" t="s">
        <v>19</v>
      </c>
      <c r="J124" s="3">
        <v>27450</v>
      </c>
      <c r="K124" s="5" t="s">
        <v>187</v>
      </c>
    </row>
    <row r="125" spans="1:11" ht="15.5" thickTop="1" thickBot="1" x14ac:dyDescent="0.4">
      <c r="A125" s="4" t="s">
        <v>11</v>
      </c>
      <c r="B125" s="2" t="s">
        <v>21</v>
      </c>
      <c r="C125" s="2" t="s">
        <v>28</v>
      </c>
      <c r="D125" s="2" t="s">
        <v>396</v>
      </c>
      <c r="E125" s="2" t="s">
        <v>397</v>
      </c>
      <c r="F125" s="2" t="s">
        <v>24</v>
      </c>
      <c r="G125" s="2" t="s">
        <v>398</v>
      </c>
      <c r="H125" s="2" t="s">
        <v>44</v>
      </c>
      <c r="I125" s="2" t="s">
        <v>45</v>
      </c>
      <c r="J125" s="3">
        <v>33030</v>
      </c>
      <c r="K125" s="5" t="s">
        <v>399</v>
      </c>
    </row>
    <row r="126" spans="1:11" ht="15.5" hidden="1" thickTop="1" thickBot="1" x14ac:dyDescent="0.4">
      <c r="A126" s="4" t="s">
        <v>11</v>
      </c>
      <c r="B126" s="2" t="s">
        <v>12</v>
      </c>
      <c r="C126" s="2" t="s">
        <v>63</v>
      </c>
      <c r="D126" s="2" t="s">
        <v>400</v>
      </c>
      <c r="E126" s="2" t="s">
        <v>178</v>
      </c>
      <c r="F126" s="2" t="s">
        <v>69</v>
      </c>
      <c r="G126" s="2" t="s">
        <v>401</v>
      </c>
      <c r="H126" s="2" t="s">
        <v>33</v>
      </c>
      <c r="I126" s="2" t="s">
        <v>45</v>
      </c>
      <c r="J126" s="2">
        <v>30</v>
      </c>
      <c r="K126" s="5" t="s">
        <v>176</v>
      </c>
    </row>
    <row r="127" spans="1:11" ht="15.5" hidden="1" thickTop="1" thickBot="1" x14ac:dyDescent="0.4">
      <c r="A127" s="4" t="s">
        <v>11</v>
      </c>
      <c r="B127" s="2" t="s">
        <v>12</v>
      </c>
      <c r="C127" s="2" t="s">
        <v>63</v>
      </c>
      <c r="D127" s="2" t="s">
        <v>105</v>
      </c>
      <c r="E127" s="2" t="s">
        <v>402</v>
      </c>
      <c r="F127" s="2" t="s">
        <v>279</v>
      </c>
      <c r="G127" s="2" t="s">
        <v>107</v>
      </c>
      <c r="H127" s="2" t="s">
        <v>88</v>
      </c>
      <c r="I127" s="2" t="s">
        <v>19</v>
      </c>
      <c r="J127" s="3">
        <v>93560</v>
      </c>
      <c r="K127" s="5" t="s">
        <v>403</v>
      </c>
    </row>
    <row r="128" spans="1:11" ht="15.5" hidden="1" thickTop="1" thickBot="1" x14ac:dyDescent="0.4">
      <c r="A128" s="4" t="s">
        <v>11</v>
      </c>
      <c r="B128" s="2" t="s">
        <v>12</v>
      </c>
      <c r="C128" s="2" t="s">
        <v>13</v>
      </c>
      <c r="D128" s="2" t="s">
        <v>404</v>
      </c>
      <c r="E128" s="2" t="s">
        <v>150</v>
      </c>
      <c r="F128" s="2" t="s">
        <v>179</v>
      </c>
      <c r="G128" s="2" t="s">
        <v>405</v>
      </c>
      <c r="H128" s="2" t="s">
        <v>33</v>
      </c>
      <c r="I128" s="2" t="s">
        <v>45</v>
      </c>
      <c r="J128" s="2">
        <v>180</v>
      </c>
      <c r="K128" s="5" t="s">
        <v>406</v>
      </c>
    </row>
    <row r="129" spans="1:11" ht="15.5" hidden="1" thickTop="1" thickBot="1" x14ac:dyDescent="0.4">
      <c r="A129" s="4" t="s">
        <v>11</v>
      </c>
      <c r="B129" s="2" t="s">
        <v>12</v>
      </c>
      <c r="C129" s="2" t="s">
        <v>28</v>
      </c>
      <c r="D129" s="2" t="s">
        <v>407</v>
      </c>
      <c r="E129" s="2" t="s">
        <v>408</v>
      </c>
      <c r="F129" s="2" t="s">
        <v>37</v>
      </c>
      <c r="G129" s="2" t="s">
        <v>409</v>
      </c>
      <c r="H129" s="2" t="s">
        <v>33</v>
      </c>
      <c r="I129" s="2" t="s">
        <v>19</v>
      </c>
      <c r="J129" s="3">
        <v>2820</v>
      </c>
      <c r="K129" s="5" t="s">
        <v>46</v>
      </c>
    </row>
    <row r="130" spans="1:11" ht="15.5" thickTop="1" thickBot="1" x14ac:dyDescent="0.4">
      <c r="A130" s="4" t="s">
        <v>11</v>
      </c>
      <c r="B130" s="2" t="s">
        <v>12</v>
      </c>
      <c r="C130" s="2" t="s">
        <v>28</v>
      </c>
      <c r="D130" s="2" t="s">
        <v>410</v>
      </c>
      <c r="E130" s="2" t="s">
        <v>411</v>
      </c>
      <c r="F130" s="2" t="s">
        <v>24</v>
      </c>
      <c r="G130" s="2" t="s">
        <v>50</v>
      </c>
      <c r="H130" s="2" t="s">
        <v>44</v>
      </c>
      <c r="I130" s="2" t="s">
        <v>19</v>
      </c>
      <c r="J130" s="3">
        <v>290800</v>
      </c>
      <c r="K130" s="5" t="s">
        <v>412</v>
      </c>
    </row>
    <row r="131" spans="1:11" ht="15.5" thickTop="1" thickBot="1" x14ac:dyDescent="0.4">
      <c r="A131" s="4" t="s">
        <v>11</v>
      </c>
      <c r="B131" s="2" t="s">
        <v>75</v>
      </c>
      <c r="C131" s="2" t="s">
        <v>63</v>
      </c>
      <c r="D131" s="2" t="s">
        <v>413</v>
      </c>
      <c r="E131" s="2" t="s">
        <v>91</v>
      </c>
      <c r="F131" s="2" t="s">
        <v>37</v>
      </c>
      <c r="G131" s="2" t="s">
        <v>50</v>
      </c>
      <c r="H131" s="2" t="s">
        <v>44</v>
      </c>
      <c r="I131" s="2" t="s">
        <v>45</v>
      </c>
      <c r="J131" s="3">
        <v>23320</v>
      </c>
      <c r="K131" s="5" t="s">
        <v>414</v>
      </c>
    </row>
    <row r="132" spans="1:11" ht="15.5" hidden="1" thickTop="1" thickBot="1" x14ac:dyDescent="0.4">
      <c r="A132" s="4" t="s">
        <v>11</v>
      </c>
      <c r="B132" s="2" t="s">
        <v>21</v>
      </c>
      <c r="C132" s="2" t="s">
        <v>63</v>
      </c>
      <c r="D132" s="2" t="s">
        <v>415</v>
      </c>
      <c r="E132" s="2" t="s">
        <v>48</v>
      </c>
      <c r="F132" s="2" t="s">
        <v>225</v>
      </c>
      <c r="G132" s="2" t="s">
        <v>416</v>
      </c>
      <c r="H132" s="2" t="s">
        <v>88</v>
      </c>
      <c r="I132" s="2" t="s">
        <v>45</v>
      </c>
      <c r="J132" s="3">
        <v>76020</v>
      </c>
      <c r="K132" s="5" t="s">
        <v>417</v>
      </c>
    </row>
    <row r="133" spans="1:11" ht="15.5" hidden="1" thickTop="1" thickBot="1" x14ac:dyDescent="0.4">
      <c r="A133" s="4" t="s">
        <v>11</v>
      </c>
      <c r="B133" s="2" t="s">
        <v>21</v>
      </c>
      <c r="C133" s="2" t="s">
        <v>13</v>
      </c>
      <c r="D133" s="2" t="s">
        <v>418</v>
      </c>
      <c r="E133" s="2" t="s">
        <v>419</v>
      </c>
      <c r="F133" s="2" t="s">
        <v>279</v>
      </c>
      <c r="G133" s="2" t="s">
        <v>70</v>
      </c>
      <c r="H133" s="2" t="s">
        <v>88</v>
      </c>
      <c r="I133" s="2" t="s">
        <v>45</v>
      </c>
      <c r="J133" s="2">
        <v>500</v>
      </c>
      <c r="K133" s="5" t="s">
        <v>46</v>
      </c>
    </row>
    <row r="134" spans="1:11" ht="15.5" hidden="1" thickTop="1" thickBot="1" x14ac:dyDescent="0.4">
      <c r="A134" s="4" t="s">
        <v>11</v>
      </c>
      <c r="B134" s="2" t="s">
        <v>12</v>
      </c>
      <c r="C134" s="2" t="s">
        <v>63</v>
      </c>
      <c r="D134" s="2" t="s">
        <v>420</v>
      </c>
      <c r="E134" s="2" t="s">
        <v>421</v>
      </c>
      <c r="F134" s="2" t="s">
        <v>60</v>
      </c>
      <c r="G134" s="2" t="s">
        <v>422</v>
      </c>
      <c r="H134" s="2" t="s">
        <v>88</v>
      </c>
      <c r="I134" s="2" t="s">
        <v>19</v>
      </c>
      <c r="J134" s="3">
        <v>2520</v>
      </c>
      <c r="K134" s="5" t="s">
        <v>423</v>
      </c>
    </row>
    <row r="135" spans="1:11" ht="15.5" hidden="1" thickTop="1" thickBot="1" x14ac:dyDescent="0.4">
      <c r="A135" s="4" t="s">
        <v>11</v>
      </c>
      <c r="B135" s="2" t="s">
        <v>12</v>
      </c>
      <c r="C135" s="2" t="s">
        <v>28</v>
      </c>
      <c r="D135" s="2" t="s">
        <v>424</v>
      </c>
      <c r="E135" s="2" t="s">
        <v>101</v>
      </c>
      <c r="F135" s="2" t="s">
        <v>37</v>
      </c>
      <c r="G135" s="2" t="s">
        <v>425</v>
      </c>
      <c r="H135" s="2" t="s">
        <v>33</v>
      </c>
      <c r="I135" s="2" t="s">
        <v>45</v>
      </c>
      <c r="J135" s="3">
        <v>3760</v>
      </c>
      <c r="K135" s="5" t="s">
        <v>46</v>
      </c>
    </row>
    <row r="136" spans="1:11" ht="15.5" hidden="1" thickTop="1" thickBot="1" x14ac:dyDescent="0.4">
      <c r="A136" s="4" t="s">
        <v>11</v>
      </c>
      <c r="B136" s="2" t="s">
        <v>12</v>
      </c>
      <c r="C136" s="2" t="s">
        <v>28</v>
      </c>
      <c r="D136" s="2" t="s">
        <v>426</v>
      </c>
      <c r="E136" s="2" t="s">
        <v>427</v>
      </c>
      <c r="F136" s="2" t="s">
        <v>225</v>
      </c>
      <c r="G136" s="2" t="s">
        <v>70</v>
      </c>
      <c r="H136" s="2" t="s">
        <v>33</v>
      </c>
      <c r="I136" s="2" t="s">
        <v>45</v>
      </c>
      <c r="J136" s="2">
        <v>150</v>
      </c>
      <c r="K136" s="5" t="s">
        <v>89</v>
      </c>
    </row>
    <row r="137" spans="1:11" ht="15.5" thickTop="1" thickBot="1" x14ac:dyDescent="0.4">
      <c r="A137" s="4" t="s">
        <v>11</v>
      </c>
      <c r="B137" s="2" t="s">
        <v>12</v>
      </c>
      <c r="C137" s="2" t="s">
        <v>13</v>
      </c>
      <c r="D137" s="2" t="s">
        <v>428</v>
      </c>
      <c r="E137" s="2" t="s">
        <v>161</v>
      </c>
      <c r="F137" s="2" t="s">
        <v>66</v>
      </c>
      <c r="G137" s="2" t="s">
        <v>163</v>
      </c>
      <c r="H137" s="2" t="s">
        <v>44</v>
      </c>
      <c r="I137" s="2" t="s">
        <v>19</v>
      </c>
      <c r="J137" s="3">
        <v>21050</v>
      </c>
      <c r="K137" s="5" t="s">
        <v>429</v>
      </c>
    </row>
    <row r="138" spans="1:11" ht="15.5" hidden="1" thickTop="1" thickBot="1" x14ac:dyDescent="0.4">
      <c r="A138" s="4" t="s">
        <v>57</v>
      </c>
      <c r="B138" s="2" t="s">
        <v>12</v>
      </c>
      <c r="C138" s="2" t="s">
        <v>13</v>
      </c>
      <c r="D138" s="2" t="s">
        <v>29</v>
      </c>
      <c r="E138" s="2" t="s">
        <v>430</v>
      </c>
      <c r="F138" s="2" t="s">
        <v>31</v>
      </c>
      <c r="G138" s="2" t="s">
        <v>32</v>
      </c>
      <c r="H138" s="2" t="s">
        <v>33</v>
      </c>
      <c r="I138" s="2" t="s">
        <v>19</v>
      </c>
      <c r="J138" s="3">
        <v>25940</v>
      </c>
      <c r="K138" s="5" t="s">
        <v>412</v>
      </c>
    </row>
    <row r="139" spans="1:11" ht="15.5" hidden="1" thickTop="1" thickBot="1" x14ac:dyDescent="0.4">
      <c r="A139" s="4" t="s">
        <v>11</v>
      </c>
      <c r="B139" s="2" t="s">
        <v>12</v>
      </c>
      <c r="C139" s="2" t="s">
        <v>28</v>
      </c>
      <c r="D139" s="2" t="s">
        <v>431</v>
      </c>
      <c r="E139" s="2" t="s">
        <v>432</v>
      </c>
      <c r="F139" s="2" t="s">
        <v>141</v>
      </c>
      <c r="G139" s="2" t="s">
        <v>433</v>
      </c>
      <c r="H139" s="2" t="s">
        <v>88</v>
      </c>
      <c r="I139" s="2" t="s">
        <v>19</v>
      </c>
      <c r="J139" s="3">
        <v>103540</v>
      </c>
      <c r="K139" s="5" t="s">
        <v>434</v>
      </c>
    </row>
    <row r="140" spans="1:11" ht="15.5" hidden="1" thickTop="1" thickBot="1" x14ac:dyDescent="0.4">
      <c r="A140" s="4" t="s">
        <v>11</v>
      </c>
      <c r="B140" s="2" t="s">
        <v>12</v>
      </c>
      <c r="C140" s="2" t="s">
        <v>63</v>
      </c>
      <c r="D140" s="2" t="s">
        <v>333</v>
      </c>
      <c r="E140" s="2" t="s">
        <v>435</v>
      </c>
      <c r="F140" s="2" t="s">
        <v>37</v>
      </c>
      <c r="G140" s="2" t="s">
        <v>335</v>
      </c>
      <c r="H140" s="2" t="s">
        <v>33</v>
      </c>
      <c r="I140" s="2" t="s">
        <v>45</v>
      </c>
      <c r="J140" s="3">
        <v>3780</v>
      </c>
      <c r="K140" s="5" t="s">
        <v>436</v>
      </c>
    </row>
    <row r="141" spans="1:11" ht="15.5" thickTop="1" thickBot="1" x14ac:dyDescent="0.4">
      <c r="A141" s="4" t="s">
        <v>11</v>
      </c>
      <c r="B141" s="2" t="s">
        <v>12</v>
      </c>
      <c r="C141" s="2" t="s">
        <v>63</v>
      </c>
      <c r="D141" s="2" t="s">
        <v>437</v>
      </c>
      <c r="E141" s="2" t="s">
        <v>438</v>
      </c>
      <c r="F141" s="2" t="s">
        <v>141</v>
      </c>
      <c r="G141" s="2" t="s">
        <v>439</v>
      </c>
      <c r="H141" s="2" t="s">
        <v>44</v>
      </c>
      <c r="I141" s="2" t="s">
        <v>19</v>
      </c>
      <c r="J141" s="3">
        <v>30870</v>
      </c>
      <c r="K141" s="5" t="s">
        <v>440</v>
      </c>
    </row>
    <row r="142" spans="1:11" ht="15.5" thickTop="1" thickBot="1" x14ac:dyDescent="0.4">
      <c r="A142" s="4" t="s">
        <v>11</v>
      </c>
      <c r="B142" s="2" t="s">
        <v>12</v>
      </c>
      <c r="C142" s="2" t="s">
        <v>63</v>
      </c>
      <c r="D142" s="2" t="s">
        <v>441</v>
      </c>
      <c r="E142" s="2" t="s">
        <v>442</v>
      </c>
      <c r="F142" s="2" t="s">
        <v>31</v>
      </c>
      <c r="G142" s="2" t="s">
        <v>73</v>
      </c>
      <c r="H142" s="2" t="s">
        <v>44</v>
      </c>
      <c r="I142" s="2" t="s">
        <v>19</v>
      </c>
      <c r="J142" s="3">
        <v>274280</v>
      </c>
      <c r="K142" s="5" t="s">
        <v>443</v>
      </c>
    </row>
    <row r="143" spans="1:11" ht="15.5" hidden="1" thickTop="1" thickBot="1" x14ac:dyDescent="0.4">
      <c r="A143" s="4" t="s">
        <v>11</v>
      </c>
      <c r="B143" s="2" t="s">
        <v>21</v>
      </c>
      <c r="C143" s="2" t="s">
        <v>63</v>
      </c>
      <c r="D143" s="2" t="s">
        <v>444</v>
      </c>
      <c r="E143" s="2" t="s">
        <v>48</v>
      </c>
      <c r="F143" s="2" t="s">
        <v>179</v>
      </c>
      <c r="G143" s="2" t="s">
        <v>445</v>
      </c>
      <c r="H143" s="2" t="s">
        <v>88</v>
      </c>
      <c r="I143" s="2" t="s">
        <v>19</v>
      </c>
      <c r="J143" s="3">
        <v>300070</v>
      </c>
      <c r="K143" s="5" t="s">
        <v>446</v>
      </c>
    </row>
    <row r="144" spans="1:11" ht="15.5" hidden="1" thickTop="1" thickBot="1" x14ac:dyDescent="0.4">
      <c r="A144" s="4" t="s">
        <v>11</v>
      </c>
      <c r="B144" s="2" t="s">
        <v>75</v>
      </c>
      <c r="C144" s="2" t="s">
        <v>28</v>
      </c>
      <c r="D144" s="2" t="s">
        <v>391</v>
      </c>
      <c r="E144" s="2" t="s">
        <v>447</v>
      </c>
      <c r="F144" s="2" t="s">
        <v>279</v>
      </c>
      <c r="G144" s="2" t="s">
        <v>393</v>
      </c>
      <c r="H144" s="2" t="s">
        <v>88</v>
      </c>
      <c r="I144" s="2" t="s">
        <v>19</v>
      </c>
      <c r="J144" s="3">
        <v>78720</v>
      </c>
      <c r="K144" s="5" t="s">
        <v>448</v>
      </c>
    </row>
    <row r="145" spans="1:11" ht="15.5" hidden="1" thickTop="1" thickBot="1" x14ac:dyDescent="0.4">
      <c r="A145" s="4" t="s">
        <v>11</v>
      </c>
      <c r="B145" s="2" t="s">
        <v>12</v>
      </c>
      <c r="C145" s="2" t="s">
        <v>28</v>
      </c>
      <c r="D145" s="2" t="s">
        <v>449</v>
      </c>
      <c r="E145" s="2" t="s">
        <v>450</v>
      </c>
      <c r="F145" s="2" t="s">
        <v>31</v>
      </c>
      <c r="G145" s="2" t="s">
        <v>61</v>
      </c>
      <c r="H145" s="2" t="s">
        <v>33</v>
      </c>
      <c r="I145" s="2" t="s">
        <v>19</v>
      </c>
      <c r="J145" s="3">
        <v>94540</v>
      </c>
      <c r="K145" s="5" t="s">
        <v>89</v>
      </c>
    </row>
    <row r="146" spans="1:11" ht="15.5" hidden="1" thickTop="1" thickBot="1" x14ac:dyDescent="0.4">
      <c r="A146" s="4" t="s">
        <v>11</v>
      </c>
      <c r="B146" s="2" t="s">
        <v>21</v>
      </c>
      <c r="C146" s="2" t="s">
        <v>13</v>
      </c>
      <c r="D146" s="2" t="s">
        <v>451</v>
      </c>
      <c r="E146" s="2" t="s">
        <v>13</v>
      </c>
      <c r="F146" s="2" t="s">
        <v>31</v>
      </c>
      <c r="G146" s="2" t="s">
        <v>175</v>
      </c>
      <c r="H146" s="2" t="s">
        <v>33</v>
      </c>
      <c r="I146" s="2" t="s">
        <v>45</v>
      </c>
      <c r="J146" s="2">
        <v>360</v>
      </c>
      <c r="K146" s="5" t="s">
        <v>46</v>
      </c>
    </row>
    <row r="147" spans="1:11" ht="15.5" hidden="1" thickTop="1" thickBot="1" x14ac:dyDescent="0.4">
      <c r="A147" s="4" t="s">
        <v>11</v>
      </c>
      <c r="B147" s="2" t="s">
        <v>12</v>
      </c>
      <c r="C147" s="2" t="s">
        <v>28</v>
      </c>
      <c r="D147" s="2" t="s">
        <v>452</v>
      </c>
      <c r="E147" s="2" t="s">
        <v>453</v>
      </c>
      <c r="F147" s="2" t="s">
        <v>37</v>
      </c>
      <c r="G147" s="2" t="s">
        <v>70</v>
      </c>
      <c r="H147" s="2" t="s">
        <v>33</v>
      </c>
      <c r="I147" s="2" t="s">
        <v>45</v>
      </c>
      <c r="J147" s="2">
        <v>500</v>
      </c>
      <c r="K147" s="5" t="s">
        <v>46</v>
      </c>
    </row>
    <row r="148" spans="1:11" ht="15.5" hidden="1" thickTop="1" thickBot="1" x14ac:dyDescent="0.4">
      <c r="A148" s="4" t="s">
        <v>57</v>
      </c>
      <c r="B148" s="2" t="s">
        <v>12</v>
      </c>
      <c r="C148" s="2" t="s">
        <v>63</v>
      </c>
      <c r="D148" s="2" t="s">
        <v>228</v>
      </c>
      <c r="E148" s="2" t="s">
        <v>229</v>
      </c>
      <c r="F148" s="2" t="s">
        <v>245</v>
      </c>
      <c r="G148" s="2" t="s">
        <v>230</v>
      </c>
      <c r="H148" s="2" t="s">
        <v>231</v>
      </c>
      <c r="I148" s="2" t="s">
        <v>45</v>
      </c>
      <c r="J148" s="3">
        <v>38130</v>
      </c>
      <c r="K148" s="5" t="s">
        <v>232</v>
      </c>
    </row>
    <row r="149" spans="1:11" ht="15.5" hidden="1" thickTop="1" thickBot="1" x14ac:dyDescent="0.4">
      <c r="A149" s="4" t="s">
        <v>11</v>
      </c>
      <c r="B149" s="2" t="s">
        <v>75</v>
      </c>
      <c r="C149" s="2" t="s">
        <v>63</v>
      </c>
      <c r="D149" s="2" t="s">
        <v>454</v>
      </c>
      <c r="E149" s="2" t="s">
        <v>455</v>
      </c>
      <c r="F149" s="2" t="s">
        <v>31</v>
      </c>
      <c r="G149" s="2" t="s">
        <v>456</v>
      </c>
      <c r="H149" s="2" t="s">
        <v>33</v>
      </c>
      <c r="I149" s="2" t="s">
        <v>45</v>
      </c>
      <c r="J149" s="2">
        <v>60</v>
      </c>
      <c r="K149" s="5" t="s">
        <v>457</v>
      </c>
    </row>
    <row r="150" spans="1:11" ht="15.5" hidden="1" thickTop="1" thickBot="1" x14ac:dyDescent="0.4">
      <c r="A150" s="4" t="s">
        <v>11</v>
      </c>
      <c r="B150" s="2" t="s">
        <v>12</v>
      </c>
      <c r="C150" s="2" t="s">
        <v>63</v>
      </c>
      <c r="D150" s="2" t="s">
        <v>458</v>
      </c>
      <c r="E150" s="2" t="s">
        <v>459</v>
      </c>
      <c r="F150" s="2" t="s">
        <v>279</v>
      </c>
      <c r="G150" s="2" t="s">
        <v>460</v>
      </c>
      <c r="H150" s="2" t="s">
        <v>88</v>
      </c>
      <c r="I150" s="2" t="s">
        <v>19</v>
      </c>
      <c r="J150" s="3">
        <v>28070</v>
      </c>
      <c r="K150" s="5" t="s">
        <v>461</v>
      </c>
    </row>
    <row r="151" spans="1:11" ht="15.5" thickTop="1" thickBot="1" x14ac:dyDescent="0.4">
      <c r="A151" s="4" t="s">
        <v>11</v>
      </c>
      <c r="B151" s="2" t="s">
        <v>21</v>
      </c>
      <c r="C151" s="2" t="s">
        <v>13</v>
      </c>
      <c r="D151" s="2" t="s">
        <v>239</v>
      </c>
      <c r="E151" s="2" t="s">
        <v>189</v>
      </c>
      <c r="F151" s="2" t="s">
        <v>31</v>
      </c>
      <c r="G151" s="2" t="s">
        <v>241</v>
      </c>
      <c r="H151" s="2" t="s">
        <v>44</v>
      </c>
      <c r="I151" s="2" t="s">
        <v>19</v>
      </c>
      <c r="J151" s="3">
        <v>68430</v>
      </c>
      <c r="K151" s="5" t="s">
        <v>462</v>
      </c>
    </row>
    <row r="152" spans="1:11" ht="15.5" hidden="1" thickTop="1" thickBot="1" x14ac:dyDescent="0.4">
      <c r="A152" s="4" t="s">
        <v>11</v>
      </c>
      <c r="B152" s="2" t="s">
        <v>12</v>
      </c>
      <c r="C152" s="2" t="s">
        <v>63</v>
      </c>
      <c r="D152" s="2" t="s">
        <v>361</v>
      </c>
      <c r="E152" s="2" t="s">
        <v>463</v>
      </c>
      <c r="F152" s="2" t="s">
        <v>306</v>
      </c>
      <c r="G152" s="2" t="s">
        <v>363</v>
      </c>
      <c r="H152" s="2" t="s">
        <v>33</v>
      </c>
      <c r="I152" s="2" t="s">
        <v>19</v>
      </c>
      <c r="J152" s="3">
        <v>40050</v>
      </c>
      <c r="K152" s="5" t="s">
        <v>464</v>
      </c>
    </row>
    <row r="153" spans="1:11" ht="15.5" hidden="1" thickTop="1" thickBot="1" x14ac:dyDescent="0.4">
      <c r="A153" s="4" t="s">
        <v>11</v>
      </c>
      <c r="B153" s="2" t="s">
        <v>52</v>
      </c>
      <c r="C153" s="2" t="s">
        <v>63</v>
      </c>
      <c r="D153" s="2" t="s">
        <v>123</v>
      </c>
      <c r="E153" s="2" t="s">
        <v>97</v>
      </c>
      <c r="F153" s="2" t="s">
        <v>31</v>
      </c>
      <c r="G153" s="2" t="s">
        <v>124</v>
      </c>
      <c r="H153" s="2" t="s">
        <v>33</v>
      </c>
      <c r="I153" s="2" t="s">
        <v>19</v>
      </c>
      <c r="J153" s="3">
        <v>222040</v>
      </c>
      <c r="K153" s="5" t="s">
        <v>125</v>
      </c>
    </row>
    <row r="154" spans="1:11" ht="15.5" hidden="1" thickTop="1" thickBot="1" x14ac:dyDescent="0.4">
      <c r="A154" s="4" t="s">
        <v>11</v>
      </c>
      <c r="B154" s="2" t="s">
        <v>12</v>
      </c>
      <c r="C154" s="2" t="s">
        <v>28</v>
      </c>
      <c r="D154" s="2" t="s">
        <v>465</v>
      </c>
      <c r="E154" s="2" t="s">
        <v>466</v>
      </c>
      <c r="F154" s="2" t="s">
        <v>31</v>
      </c>
      <c r="G154" s="2" t="s">
        <v>395</v>
      </c>
      <c r="H154" s="2" t="s">
        <v>33</v>
      </c>
      <c r="I154" s="2" t="s">
        <v>19</v>
      </c>
      <c r="J154" s="3">
        <v>26030</v>
      </c>
      <c r="K154" s="5" t="s">
        <v>467</v>
      </c>
    </row>
    <row r="155" spans="1:11" ht="15.5" thickTop="1" thickBot="1" x14ac:dyDescent="0.4">
      <c r="A155" s="4" t="s">
        <v>11</v>
      </c>
      <c r="B155" s="2" t="s">
        <v>12</v>
      </c>
      <c r="C155" s="2" t="s">
        <v>63</v>
      </c>
      <c r="D155" s="2" t="s">
        <v>468</v>
      </c>
      <c r="E155" s="2" t="s">
        <v>229</v>
      </c>
      <c r="F155" s="2" t="s">
        <v>37</v>
      </c>
      <c r="G155" s="2" t="s">
        <v>405</v>
      </c>
      <c r="H155" s="2" t="s">
        <v>44</v>
      </c>
      <c r="I155" s="2" t="s">
        <v>19</v>
      </c>
      <c r="J155" s="3">
        <v>68160</v>
      </c>
      <c r="K155" s="5" t="s">
        <v>469</v>
      </c>
    </row>
    <row r="156" spans="1:11" ht="15.5" hidden="1" thickTop="1" thickBot="1" x14ac:dyDescent="0.4">
      <c r="A156" s="4" t="s">
        <v>11</v>
      </c>
      <c r="B156" s="2" t="s">
        <v>12</v>
      </c>
      <c r="C156" s="2" t="s">
        <v>63</v>
      </c>
      <c r="D156" s="2" t="s">
        <v>470</v>
      </c>
      <c r="E156" s="2" t="s">
        <v>97</v>
      </c>
      <c r="F156" s="2" t="s">
        <v>279</v>
      </c>
      <c r="G156" s="2" t="s">
        <v>124</v>
      </c>
      <c r="H156" s="2" t="s">
        <v>33</v>
      </c>
      <c r="I156" s="2" t="s">
        <v>19</v>
      </c>
      <c r="J156" s="3">
        <v>261060</v>
      </c>
      <c r="K156" s="5" t="s">
        <v>471</v>
      </c>
    </row>
    <row r="157" spans="1:11" ht="15.5" hidden="1" thickTop="1" thickBot="1" x14ac:dyDescent="0.4">
      <c r="A157" s="4" t="s">
        <v>11</v>
      </c>
      <c r="B157" s="2" t="s">
        <v>12</v>
      </c>
      <c r="C157" s="2" t="s">
        <v>28</v>
      </c>
      <c r="D157" s="2" t="s">
        <v>269</v>
      </c>
      <c r="E157" s="2" t="s">
        <v>278</v>
      </c>
      <c r="F157" s="2" t="s">
        <v>31</v>
      </c>
      <c r="G157" s="2" t="s">
        <v>271</v>
      </c>
      <c r="H157" s="2" t="s">
        <v>33</v>
      </c>
      <c r="I157" s="2" t="s">
        <v>19</v>
      </c>
      <c r="J157" s="3">
        <v>108650</v>
      </c>
      <c r="K157" s="5" t="s">
        <v>62</v>
      </c>
    </row>
    <row r="158" spans="1:11" ht="15.5" hidden="1" thickTop="1" thickBot="1" x14ac:dyDescent="0.4">
      <c r="A158" s="4" t="s">
        <v>11</v>
      </c>
      <c r="B158" s="2" t="s">
        <v>12</v>
      </c>
      <c r="C158" s="2" t="s">
        <v>63</v>
      </c>
      <c r="D158" s="2" t="s">
        <v>472</v>
      </c>
      <c r="E158" s="2" t="s">
        <v>97</v>
      </c>
      <c r="F158" s="2" t="s">
        <v>49</v>
      </c>
      <c r="G158" s="2" t="s">
        <v>124</v>
      </c>
      <c r="H158" s="2" t="s">
        <v>33</v>
      </c>
      <c r="I158" s="2" t="s">
        <v>45</v>
      </c>
      <c r="J158" s="3">
        <v>15440</v>
      </c>
      <c r="K158" s="5" t="s">
        <v>473</v>
      </c>
    </row>
    <row r="159" spans="1:11" ht="15.5" hidden="1" thickTop="1" thickBot="1" x14ac:dyDescent="0.4">
      <c r="A159" s="4" t="s">
        <v>11</v>
      </c>
      <c r="B159" s="2" t="s">
        <v>12</v>
      </c>
      <c r="C159" s="2" t="s">
        <v>13</v>
      </c>
      <c r="D159" s="2" t="s">
        <v>474</v>
      </c>
      <c r="E159" s="2" t="s">
        <v>475</v>
      </c>
      <c r="F159" s="2" t="s">
        <v>279</v>
      </c>
      <c r="G159" s="2" t="s">
        <v>476</v>
      </c>
      <c r="H159" s="2" t="s">
        <v>33</v>
      </c>
      <c r="I159" s="2" t="s">
        <v>45</v>
      </c>
      <c r="J159" s="2">
        <v>31</v>
      </c>
      <c r="K159" s="5" t="s">
        <v>477</v>
      </c>
    </row>
    <row r="160" spans="1:11" ht="15.5" hidden="1" thickTop="1" thickBot="1" x14ac:dyDescent="0.4">
      <c r="A160" s="4" t="s">
        <v>11</v>
      </c>
      <c r="B160" s="2" t="s">
        <v>75</v>
      </c>
      <c r="C160" s="2" t="s">
        <v>13</v>
      </c>
      <c r="D160" s="2" t="s">
        <v>478</v>
      </c>
      <c r="E160" s="2" t="s">
        <v>479</v>
      </c>
      <c r="F160" s="2" t="s">
        <v>16</v>
      </c>
      <c r="G160" s="2" t="s">
        <v>480</v>
      </c>
      <c r="H160" s="2" t="s">
        <v>88</v>
      </c>
      <c r="I160" s="2" t="s">
        <v>19</v>
      </c>
      <c r="J160" s="2">
        <v>613</v>
      </c>
      <c r="K160" s="5" t="s">
        <v>143</v>
      </c>
    </row>
    <row r="161" spans="1:11" ht="15.5" hidden="1" thickTop="1" thickBot="1" x14ac:dyDescent="0.4">
      <c r="A161" s="4" t="s">
        <v>11</v>
      </c>
      <c r="B161" s="2" t="s">
        <v>75</v>
      </c>
      <c r="C161" s="2" t="s">
        <v>28</v>
      </c>
      <c r="D161" s="2" t="s">
        <v>298</v>
      </c>
      <c r="E161" s="2" t="s">
        <v>299</v>
      </c>
      <c r="F161" s="2" t="s">
        <v>37</v>
      </c>
      <c r="G161" s="2" t="s">
        <v>301</v>
      </c>
      <c r="H161" s="2" t="s">
        <v>33</v>
      </c>
      <c r="I161" s="2" t="s">
        <v>19</v>
      </c>
      <c r="J161" s="3">
        <v>24820</v>
      </c>
      <c r="K161" s="5" t="s">
        <v>136</v>
      </c>
    </row>
    <row r="162" spans="1:11" ht="15.5" hidden="1" thickTop="1" thickBot="1" x14ac:dyDescent="0.4">
      <c r="A162" s="4" t="s">
        <v>11</v>
      </c>
      <c r="B162" s="2" t="s">
        <v>12</v>
      </c>
      <c r="C162" s="2" t="s">
        <v>63</v>
      </c>
      <c r="D162" s="2" t="s">
        <v>481</v>
      </c>
      <c r="E162" s="2" t="s">
        <v>167</v>
      </c>
      <c r="F162" s="2" t="s">
        <v>24</v>
      </c>
      <c r="G162" s="2" t="s">
        <v>482</v>
      </c>
      <c r="H162" s="2" t="s">
        <v>88</v>
      </c>
      <c r="I162" s="2" t="s">
        <v>19</v>
      </c>
      <c r="J162" s="3">
        <v>1020</v>
      </c>
      <c r="K162" s="5" t="s">
        <v>483</v>
      </c>
    </row>
    <row r="163" spans="1:11" ht="15.5" hidden="1" thickTop="1" thickBot="1" x14ac:dyDescent="0.4">
      <c r="A163" s="4" t="s">
        <v>11</v>
      </c>
      <c r="B163" s="2" t="s">
        <v>12</v>
      </c>
      <c r="C163" s="2" t="s">
        <v>63</v>
      </c>
      <c r="D163" s="2" t="s">
        <v>484</v>
      </c>
      <c r="E163" s="2" t="s">
        <v>48</v>
      </c>
      <c r="F163" s="2" t="s">
        <v>353</v>
      </c>
      <c r="G163" s="2" t="s">
        <v>485</v>
      </c>
      <c r="H163" s="2" t="s">
        <v>33</v>
      </c>
      <c r="I163" s="2" t="s">
        <v>19</v>
      </c>
      <c r="J163" s="3">
        <v>11060</v>
      </c>
      <c r="K163" s="5" t="s">
        <v>486</v>
      </c>
    </row>
    <row r="164" spans="1:11" ht="15.5" hidden="1" thickTop="1" thickBot="1" x14ac:dyDescent="0.4">
      <c r="A164" s="4" t="s">
        <v>11</v>
      </c>
      <c r="B164" s="2" t="s">
        <v>12</v>
      </c>
      <c r="C164" s="2" t="s">
        <v>28</v>
      </c>
      <c r="D164" s="2" t="s">
        <v>90</v>
      </c>
      <c r="E164" s="2" t="s">
        <v>487</v>
      </c>
      <c r="F164" s="2" t="s">
        <v>31</v>
      </c>
      <c r="G164" s="2" t="s">
        <v>92</v>
      </c>
      <c r="H164" s="2" t="s">
        <v>33</v>
      </c>
      <c r="I164" s="2" t="s">
        <v>45</v>
      </c>
      <c r="J164" s="2">
        <v>45</v>
      </c>
      <c r="K164" s="5" t="s">
        <v>89</v>
      </c>
    </row>
    <row r="165" spans="1:11" ht="15.5" thickTop="1" thickBot="1" x14ac:dyDescent="0.4">
      <c r="A165" s="4" t="s">
        <v>11</v>
      </c>
      <c r="B165" s="2" t="s">
        <v>12</v>
      </c>
      <c r="C165" s="2" t="s">
        <v>63</v>
      </c>
      <c r="D165" s="2" t="s">
        <v>488</v>
      </c>
      <c r="E165" s="2" t="s">
        <v>489</v>
      </c>
      <c r="F165" s="2" t="s">
        <v>31</v>
      </c>
      <c r="G165" s="2" t="s">
        <v>50</v>
      </c>
      <c r="H165" s="2" t="s">
        <v>44</v>
      </c>
      <c r="I165" s="2" t="s">
        <v>19</v>
      </c>
      <c r="J165" s="3">
        <v>88990</v>
      </c>
      <c r="K165" s="5" t="s">
        <v>143</v>
      </c>
    </row>
    <row r="166" spans="1:11" ht="15.5" hidden="1" thickTop="1" thickBot="1" x14ac:dyDescent="0.4">
      <c r="A166" s="4" t="s">
        <v>11</v>
      </c>
      <c r="B166" s="2" t="s">
        <v>75</v>
      </c>
      <c r="C166" s="2" t="s">
        <v>63</v>
      </c>
      <c r="D166" s="2" t="s">
        <v>490</v>
      </c>
      <c r="E166" s="2" t="s">
        <v>491</v>
      </c>
      <c r="F166" s="2" t="s">
        <v>49</v>
      </c>
      <c r="G166" s="2" t="s">
        <v>492</v>
      </c>
      <c r="H166" s="2" t="s">
        <v>33</v>
      </c>
      <c r="I166" s="2" t="s">
        <v>45</v>
      </c>
      <c r="J166" s="2">
        <v>90</v>
      </c>
      <c r="K166" s="5" t="s">
        <v>89</v>
      </c>
    </row>
    <row r="167" spans="1:11" ht="15.5" hidden="1" thickTop="1" thickBot="1" x14ac:dyDescent="0.4">
      <c r="A167" s="4" t="s">
        <v>11</v>
      </c>
      <c r="B167" s="2" t="s">
        <v>12</v>
      </c>
      <c r="C167" s="2" t="s">
        <v>28</v>
      </c>
      <c r="D167" s="2" t="s">
        <v>493</v>
      </c>
      <c r="E167" s="2" t="s">
        <v>494</v>
      </c>
      <c r="F167" s="2" t="s">
        <v>24</v>
      </c>
      <c r="G167" s="2" t="s">
        <v>495</v>
      </c>
      <c r="H167" s="2" t="s">
        <v>33</v>
      </c>
      <c r="I167" s="2" t="s">
        <v>19</v>
      </c>
      <c r="J167" s="3">
        <v>182338</v>
      </c>
      <c r="K167" s="5" t="s">
        <v>446</v>
      </c>
    </row>
    <row r="168" spans="1:11" ht="15.5" hidden="1" thickTop="1" thickBot="1" x14ac:dyDescent="0.4">
      <c r="A168" s="4" t="s">
        <v>11</v>
      </c>
      <c r="B168" s="2" t="s">
        <v>12</v>
      </c>
      <c r="C168" s="2" t="s">
        <v>63</v>
      </c>
      <c r="D168" s="2" t="s">
        <v>496</v>
      </c>
      <c r="E168" s="2" t="s">
        <v>97</v>
      </c>
      <c r="F168" s="2" t="s">
        <v>86</v>
      </c>
      <c r="G168" s="2" t="s">
        <v>50</v>
      </c>
      <c r="H168" s="2" t="s">
        <v>33</v>
      </c>
      <c r="I168" s="2" t="s">
        <v>45</v>
      </c>
      <c r="J168" s="3">
        <v>3540</v>
      </c>
      <c r="K168" s="5" t="s">
        <v>497</v>
      </c>
    </row>
    <row r="169" spans="1:11" ht="15.5" hidden="1" thickTop="1" thickBot="1" x14ac:dyDescent="0.4">
      <c r="A169" s="4" t="s">
        <v>11</v>
      </c>
      <c r="B169" s="2" t="s">
        <v>21</v>
      </c>
      <c r="C169" s="2" t="s">
        <v>28</v>
      </c>
      <c r="D169" s="2" t="s">
        <v>498</v>
      </c>
      <c r="E169" s="2" t="s">
        <v>499</v>
      </c>
      <c r="F169" s="2" t="s">
        <v>245</v>
      </c>
      <c r="G169" s="2" t="s">
        <v>500</v>
      </c>
      <c r="H169" s="2" t="s">
        <v>33</v>
      </c>
      <c r="I169" s="2" t="s">
        <v>19</v>
      </c>
      <c r="J169" s="3">
        <v>20070</v>
      </c>
      <c r="K169" s="5" t="s">
        <v>501</v>
      </c>
    </row>
    <row r="170" spans="1:11" ht="15.5" hidden="1" thickTop="1" thickBot="1" x14ac:dyDescent="0.4">
      <c r="A170" s="4" t="s">
        <v>57</v>
      </c>
      <c r="B170" s="2" t="s">
        <v>12</v>
      </c>
      <c r="C170" s="2" t="s">
        <v>28</v>
      </c>
      <c r="D170" s="2" t="s">
        <v>502</v>
      </c>
      <c r="E170" s="2" t="s">
        <v>375</v>
      </c>
      <c r="F170" s="2" t="s">
        <v>104</v>
      </c>
      <c r="G170" s="2" t="s">
        <v>503</v>
      </c>
      <c r="H170" s="2" t="s">
        <v>33</v>
      </c>
      <c r="I170" s="2" t="s">
        <v>45</v>
      </c>
      <c r="J170" s="2">
        <v>31</v>
      </c>
      <c r="K170" s="5" t="s">
        <v>46</v>
      </c>
    </row>
    <row r="171" spans="1:11" ht="15.5" hidden="1" thickTop="1" thickBot="1" x14ac:dyDescent="0.4">
      <c r="A171" s="4" t="s">
        <v>11</v>
      </c>
      <c r="B171" s="2" t="s">
        <v>12</v>
      </c>
      <c r="C171" s="2" t="s">
        <v>28</v>
      </c>
      <c r="D171" s="2" t="s">
        <v>504</v>
      </c>
      <c r="E171" s="2" t="s">
        <v>167</v>
      </c>
      <c r="F171" s="2" t="s">
        <v>60</v>
      </c>
      <c r="G171" s="2" t="s">
        <v>505</v>
      </c>
      <c r="H171" s="2" t="s">
        <v>33</v>
      </c>
      <c r="I171" s="2" t="s">
        <v>19</v>
      </c>
      <c r="J171" s="3">
        <v>212610</v>
      </c>
      <c r="K171" s="5" t="s">
        <v>506</v>
      </c>
    </row>
    <row r="172" spans="1:11" ht="15.5" hidden="1" thickTop="1" thickBot="1" x14ac:dyDescent="0.4">
      <c r="A172" s="4" t="s">
        <v>11</v>
      </c>
      <c r="B172" s="2" t="s">
        <v>12</v>
      </c>
      <c r="C172" s="2" t="s">
        <v>28</v>
      </c>
      <c r="D172" s="2" t="s">
        <v>507</v>
      </c>
      <c r="E172" s="2" t="s">
        <v>508</v>
      </c>
      <c r="F172" s="2" t="s">
        <v>353</v>
      </c>
      <c r="G172" s="2" t="s">
        <v>509</v>
      </c>
      <c r="H172" s="2" t="s">
        <v>88</v>
      </c>
      <c r="I172" s="2" t="s">
        <v>19</v>
      </c>
      <c r="J172" s="3">
        <v>37990</v>
      </c>
      <c r="K172" s="5" t="s">
        <v>510</v>
      </c>
    </row>
    <row r="173" spans="1:11" ht="15.5" hidden="1" thickTop="1" thickBot="1" x14ac:dyDescent="0.4">
      <c r="A173" s="4" t="s">
        <v>11</v>
      </c>
      <c r="B173" s="2" t="s">
        <v>21</v>
      </c>
      <c r="C173" s="2" t="s">
        <v>63</v>
      </c>
      <c r="D173" s="2" t="s">
        <v>511</v>
      </c>
      <c r="E173" s="2" t="s">
        <v>512</v>
      </c>
      <c r="F173" s="2" t="s">
        <v>24</v>
      </c>
      <c r="G173" s="2" t="s">
        <v>513</v>
      </c>
      <c r="H173" s="2" t="s">
        <v>33</v>
      </c>
      <c r="I173" s="2" t="s">
        <v>19</v>
      </c>
      <c r="J173" s="3">
        <v>65120</v>
      </c>
      <c r="K173" s="5" t="s">
        <v>514</v>
      </c>
    </row>
    <row r="174" spans="1:11" ht="15.5" hidden="1" thickTop="1" thickBot="1" x14ac:dyDescent="0.4">
      <c r="A174" s="4" t="s">
        <v>11</v>
      </c>
      <c r="B174" s="2" t="s">
        <v>12</v>
      </c>
      <c r="C174" s="2" t="s">
        <v>63</v>
      </c>
      <c r="D174" s="2" t="s">
        <v>515</v>
      </c>
      <c r="E174" s="2" t="s">
        <v>167</v>
      </c>
      <c r="F174" s="2" t="s">
        <v>31</v>
      </c>
      <c r="G174" s="2" t="s">
        <v>516</v>
      </c>
      <c r="H174" s="2" t="s">
        <v>33</v>
      </c>
      <c r="I174" s="2" t="s">
        <v>19</v>
      </c>
      <c r="J174" s="3">
        <v>55070</v>
      </c>
      <c r="K174" s="5" t="s">
        <v>62</v>
      </c>
    </row>
    <row r="175" spans="1:11" ht="15.5" hidden="1" thickTop="1" thickBot="1" x14ac:dyDescent="0.4">
      <c r="A175" s="4" t="s">
        <v>57</v>
      </c>
      <c r="B175" s="2" t="s">
        <v>12</v>
      </c>
      <c r="C175" s="2" t="s">
        <v>13</v>
      </c>
      <c r="D175" s="2" t="s">
        <v>35</v>
      </c>
      <c r="E175" s="2" t="s">
        <v>517</v>
      </c>
      <c r="F175" s="2" t="s">
        <v>24</v>
      </c>
      <c r="G175" s="2" t="s">
        <v>38</v>
      </c>
      <c r="H175" s="2" t="s">
        <v>33</v>
      </c>
      <c r="I175" s="2" t="s">
        <v>19</v>
      </c>
      <c r="J175" s="3">
        <v>34690</v>
      </c>
      <c r="K175" s="5" t="s">
        <v>518</v>
      </c>
    </row>
    <row r="176" spans="1:11" ht="15.5" hidden="1" thickTop="1" thickBot="1" x14ac:dyDescent="0.4">
      <c r="A176" s="4" t="s">
        <v>11</v>
      </c>
      <c r="B176" s="2" t="s">
        <v>12</v>
      </c>
      <c r="C176" s="2" t="s">
        <v>28</v>
      </c>
      <c r="D176" s="2" t="s">
        <v>519</v>
      </c>
      <c r="E176" s="2" t="s">
        <v>520</v>
      </c>
      <c r="F176" s="2" t="s">
        <v>37</v>
      </c>
      <c r="G176" s="2" t="s">
        <v>354</v>
      </c>
      <c r="H176" s="2" t="s">
        <v>33</v>
      </c>
      <c r="I176" s="2" t="s">
        <v>45</v>
      </c>
      <c r="J176" s="3">
        <v>2540</v>
      </c>
      <c r="K176" s="5" t="s">
        <v>89</v>
      </c>
    </row>
    <row r="177" spans="1:11" ht="15.5" hidden="1" thickTop="1" thickBot="1" x14ac:dyDescent="0.4">
      <c r="A177" s="4" t="s">
        <v>57</v>
      </c>
      <c r="B177" s="2" t="s">
        <v>12</v>
      </c>
      <c r="C177" s="2" t="s">
        <v>63</v>
      </c>
      <c r="D177" s="2" t="s">
        <v>521</v>
      </c>
      <c r="E177" s="2"/>
      <c r="F177" s="2" t="s">
        <v>522</v>
      </c>
      <c r="G177" s="2" t="s">
        <v>523</v>
      </c>
      <c r="H177" s="2" t="s">
        <v>33</v>
      </c>
      <c r="I177" s="2" t="s">
        <v>45</v>
      </c>
      <c r="J177" s="2">
        <v>910</v>
      </c>
      <c r="K177" s="5" t="s">
        <v>46</v>
      </c>
    </row>
    <row r="178" spans="1:11" ht="15.5" hidden="1" thickTop="1" thickBot="1" x14ac:dyDescent="0.4">
      <c r="A178" s="4" t="s">
        <v>11</v>
      </c>
      <c r="B178" s="2" t="s">
        <v>12</v>
      </c>
      <c r="C178" s="2" t="s">
        <v>63</v>
      </c>
      <c r="D178" s="2" t="s">
        <v>524</v>
      </c>
      <c r="E178" s="2" t="s">
        <v>525</v>
      </c>
      <c r="F178" s="2" t="s">
        <v>306</v>
      </c>
      <c r="G178" s="2" t="s">
        <v>526</v>
      </c>
      <c r="H178" s="2" t="s">
        <v>33</v>
      </c>
      <c r="I178" s="2" t="s">
        <v>19</v>
      </c>
      <c r="J178" s="3">
        <v>14460</v>
      </c>
      <c r="K178" s="5" t="s">
        <v>527</v>
      </c>
    </row>
    <row r="179" spans="1:11" ht="15.5" hidden="1" thickTop="1" thickBot="1" x14ac:dyDescent="0.4">
      <c r="A179" s="4" t="s">
        <v>11</v>
      </c>
      <c r="B179" s="2" t="s">
        <v>21</v>
      </c>
      <c r="C179" s="2" t="s">
        <v>28</v>
      </c>
      <c r="D179" s="2" t="s">
        <v>528</v>
      </c>
      <c r="E179" s="2" t="s">
        <v>529</v>
      </c>
      <c r="F179" s="2" t="s">
        <v>66</v>
      </c>
      <c r="G179" s="2" t="s">
        <v>530</v>
      </c>
      <c r="H179" s="2" t="s">
        <v>33</v>
      </c>
      <c r="I179" s="2" t="s">
        <v>45</v>
      </c>
      <c r="J179" s="3">
        <v>14040</v>
      </c>
      <c r="K179" s="5" t="s">
        <v>62</v>
      </c>
    </row>
    <row r="180" spans="1:11" ht="15.5" thickTop="1" thickBot="1" x14ac:dyDescent="0.4">
      <c r="A180" s="4" t="s">
        <v>11</v>
      </c>
      <c r="B180" s="2" t="s">
        <v>75</v>
      </c>
      <c r="C180" s="2" t="s">
        <v>63</v>
      </c>
      <c r="D180" s="2" t="s">
        <v>531</v>
      </c>
      <c r="E180" s="2" t="s">
        <v>532</v>
      </c>
      <c r="F180" s="2" t="s">
        <v>146</v>
      </c>
      <c r="G180" s="2" t="s">
        <v>533</v>
      </c>
      <c r="H180" s="2" t="s">
        <v>44</v>
      </c>
      <c r="I180" s="2" t="s">
        <v>19</v>
      </c>
      <c r="J180" s="3">
        <v>7290</v>
      </c>
      <c r="K180" s="5" t="s">
        <v>534</v>
      </c>
    </row>
    <row r="181" spans="1:11" ht="15.5" hidden="1" thickTop="1" thickBot="1" x14ac:dyDescent="0.4">
      <c r="A181" s="4" t="s">
        <v>11</v>
      </c>
      <c r="B181" s="2" t="s">
        <v>12</v>
      </c>
      <c r="C181" s="2" t="s">
        <v>63</v>
      </c>
      <c r="D181" s="2" t="s">
        <v>535</v>
      </c>
      <c r="E181" s="2" t="s">
        <v>65</v>
      </c>
      <c r="F181" s="2" t="s">
        <v>31</v>
      </c>
      <c r="G181" s="2" t="s">
        <v>168</v>
      </c>
      <c r="H181" s="2" t="s">
        <v>33</v>
      </c>
      <c r="I181" s="2" t="s">
        <v>45</v>
      </c>
      <c r="J181" s="2">
        <v>960</v>
      </c>
      <c r="K181" s="5" t="s">
        <v>46</v>
      </c>
    </row>
    <row r="182" spans="1:11" ht="15.5" hidden="1" thickTop="1" thickBot="1" x14ac:dyDescent="0.4">
      <c r="A182" s="4" t="s">
        <v>11</v>
      </c>
      <c r="B182" s="2" t="s">
        <v>12</v>
      </c>
      <c r="C182" s="2" t="s">
        <v>13</v>
      </c>
      <c r="D182" s="2" t="s">
        <v>536</v>
      </c>
      <c r="E182" s="2" t="s">
        <v>517</v>
      </c>
      <c r="F182" s="2" t="s">
        <v>179</v>
      </c>
      <c r="G182" s="2" t="s">
        <v>50</v>
      </c>
      <c r="H182" s="2" t="s">
        <v>33</v>
      </c>
      <c r="I182" s="2" t="s">
        <v>45</v>
      </c>
      <c r="J182" s="2">
        <v>750</v>
      </c>
      <c r="K182" s="5" t="s">
        <v>89</v>
      </c>
    </row>
    <row r="183" spans="1:11" ht="15.5" hidden="1" thickTop="1" thickBot="1" x14ac:dyDescent="0.4">
      <c r="A183" s="4" t="s">
        <v>11</v>
      </c>
      <c r="B183" s="2" t="s">
        <v>12</v>
      </c>
      <c r="C183" s="2" t="s">
        <v>28</v>
      </c>
      <c r="D183" s="2" t="s">
        <v>537</v>
      </c>
      <c r="E183" s="2" t="s">
        <v>41</v>
      </c>
      <c r="F183" s="2" t="s">
        <v>104</v>
      </c>
      <c r="G183" s="2" t="s">
        <v>70</v>
      </c>
      <c r="H183" s="2" t="s">
        <v>33</v>
      </c>
      <c r="I183" s="2" t="s">
        <v>45</v>
      </c>
      <c r="J183" s="2">
        <v>600</v>
      </c>
      <c r="K183" s="5" t="s">
        <v>46</v>
      </c>
    </row>
    <row r="184" spans="1:11" ht="15.5" thickTop="1" thickBot="1" x14ac:dyDescent="0.4">
      <c r="A184" s="4" t="s">
        <v>11</v>
      </c>
      <c r="B184" s="2" t="s">
        <v>12</v>
      </c>
      <c r="C184" s="2" t="s">
        <v>63</v>
      </c>
      <c r="D184" s="2" t="s">
        <v>538</v>
      </c>
      <c r="E184" s="2" t="s">
        <v>539</v>
      </c>
      <c r="F184" s="2" t="s">
        <v>69</v>
      </c>
      <c r="G184" s="2" t="s">
        <v>540</v>
      </c>
      <c r="H184" s="2" t="s">
        <v>44</v>
      </c>
      <c r="I184" s="2" t="s">
        <v>19</v>
      </c>
      <c r="J184" s="3">
        <v>60010</v>
      </c>
      <c r="K184" s="5" t="s">
        <v>143</v>
      </c>
    </row>
    <row r="185" spans="1:11" ht="15.5" hidden="1" thickTop="1" thickBot="1" x14ac:dyDescent="0.4">
      <c r="A185" s="4" t="s">
        <v>11</v>
      </c>
      <c r="B185" s="2" t="s">
        <v>12</v>
      </c>
      <c r="C185" s="2" t="s">
        <v>28</v>
      </c>
      <c r="D185" s="2" t="s">
        <v>541</v>
      </c>
      <c r="E185" s="2" t="s">
        <v>542</v>
      </c>
      <c r="F185" s="2" t="s">
        <v>37</v>
      </c>
      <c r="G185" s="2" t="s">
        <v>543</v>
      </c>
      <c r="H185" s="2" t="s">
        <v>88</v>
      </c>
      <c r="I185" s="2" t="s">
        <v>19</v>
      </c>
      <c r="J185" s="3">
        <v>48050</v>
      </c>
      <c r="K185" s="5" t="s">
        <v>544</v>
      </c>
    </row>
    <row r="186" spans="1:11" ht="15.5" hidden="1" thickTop="1" thickBot="1" x14ac:dyDescent="0.4">
      <c r="A186" s="4" t="s">
        <v>11</v>
      </c>
      <c r="B186" s="2" t="s">
        <v>75</v>
      </c>
      <c r="C186" s="2" t="s">
        <v>28</v>
      </c>
      <c r="D186" s="2" t="s">
        <v>545</v>
      </c>
      <c r="E186" s="2" t="s">
        <v>546</v>
      </c>
      <c r="F186" s="2" t="s">
        <v>49</v>
      </c>
      <c r="G186" s="2" t="s">
        <v>547</v>
      </c>
      <c r="H186" s="2" t="s">
        <v>33</v>
      </c>
      <c r="I186" s="2" t="s">
        <v>45</v>
      </c>
      <c r="J186" s="3">
        <v>12090</v>
      </c>
      <c r="K186" s="5" t="s">
        <v>548</v>
      </c>
    </row>
    <row r="187" spans="1:11" ht="15.5" hidden="1" thickTop="1" thickBot="1" x14ac:dyDescent="0.4">
      <c r="A187" s="4" t="s">
        <v>11</v>
      </c>
      <c r="B187" s="2" t="s">
        <v>12</v>
      </c>
      <c r="C187" s="2" t="s">
        <v>63</v>
      </c>
      <c r="D187" s="2" t="s">
        <v>549</v>
      </c>
      <c r="E187" s="2" t="s">
        <v>65</v>
      </c>
      <c r="F187" s="2" t="s">
        <v>179</v>
      </c>
      <c r="G187" s="2" t="s">
        <v>550</v>
      </c>
      <c r="H187" s="2" t="s">
        <v>33</v>
      </c>
      <c r="I187" s="2" t="s">
        <v>45</v>
      </c>
      <c r="J187" s="2">
        <v>351</v>
      </c>
      <c r="K187" s="5" t="s">
        <v>46</v>
      </c>
    </row>
    <row r="188" spans="1:11" ht="15.5" hidden="1" thickTop="1" thickBot="1" x14ac:dyDescent="0.4">
      <c r="A188" s="4" t="s">
        <v>11</v>
      </c>
      <c r="B188" s="2" t="s">
        <v>12</v>
      </c>
      <c r="C188" s="2" t="s">
        <v>28</v>
      </c>
      <c r="D188" s="2" t="s">
        <v>551</v>
      </c>
      <c r="E188" s="2" t="s">
        <v>194</v>
      </c>
      <c r="F188" s="2" t="s">
        <v>31</v>
      </c>
      <c r="G188" s="2" t="s">
        <v>70</v>
      </c>
      <c r="H188" s="2" t="s">
        <v>33</v>
      </c>
      <c r="I188" s="2" t="s">
        <v>19</v>
      </c>
      <c r="J188" s="3">
        <v>65870</v>
      </c>
      <c r="K188" s="5" t="s">
        <v>39</v>
      </c>
    </row>
    <row r="189" spans="1:11" ht="15.5" hidden="1" thickTop="1" thickBot="1" x14ac:dyDescent="0.4">
      <c r="A189" s="4" t="s">
        <v>11</v>
      </c>
      <c r="B189" s="2" t="s">
        <v>12</v>
      </c>
      <c r="C189" s="2" t="s">
        <v>28</v>
      </c>
      <c r="D189" s="2" t="s">
        <v>337</v>
      </c>
      <c r="E189" s="2" t="s">
        <v>552</v>
      </c>
      <c r="F189" s="2" t="s">
        <v>66</v>
      </c>
      <c r="G189" s="2" t="s">
        <v>50</v>
      </c>
      <c r="H189" s="2" t="s">
        <v>18</v>
      </c>
      <c r="I189" s="2" t="s">
        <v>19</v>
      </c>
      <c r="J189" s="3">
        <v>130020</v>
      </c>
      <c r="K189" s="5" t="s">
        <v>62</v>
      </c>
    </row>
    <row r="190" spans="1:11" ht="15.5" hidden="1" thickTop="1" thickBot="1" x14ac:dyDescent="0.4">
      <c r="A190" s="4" t="s">
        <v>11</v>
      </c>
      <c r="B190" s="2" t="s">
        <v>12</v>
      </c>
      <c r="C190" s="2" t="s">
        <v>13</v>
      </c>
      <c r="D190" s="2" t="s">
        <v>553</v>
      </c>
      <c r="E190" s="2" t="s">
        <v>554</v>
      </c>
      <c r="F190" s="2" t="s">
        <v>37</v>
      </c>
      <c r="G190" s="2" t="s">
        <v>555</v>
      </c>
      <c r="H190" s="2" t="s">
        <v>33</v>
      </c>
      <c r="I190" s="2" t="s">
        <v>19</v>
      </c>
      <c r="J190" s="3">
        <v>132060</v>
      </c>
      <c r="K190" s="5" t="s">
        <v>556</v>
      </c>
    </row>
    <row r="191" spans="1:11" ht="15.5" thickTop="1" thickBot="1" x14ac:dyDescent="0.4">
      <c r="A191" s="4" t="s">
        <v>11</v>
      </c>
      <c r="B191" s="2" t="s">
        <v>12</v>
      </c>
      <c r="C191" s="2" t="s">
        <v>63</v>
      </c>
      <c r="D191" s="2" t="s">
        <v>557</v>
      </c>
      <c r="E191" s="2" t="s">
        <v>558</v>
      </c>
      <c r="F191" s="2" t="s">
        <v>179</v>
      </c>
      <c r="G191" s="2" t="s">
        <v>523</v>
      </c>
      <c r="H191" s="2" t="s">
        <v>44</v>
      </c>
      <c r="I191" s="2" t="s">
        <v>45</v>
      </c>
      <c r="J191" s="3">
        <v>78060</v>
      </c>
      <c r="K191" s="5" t="s">
        <v>559</v>
      </c>
    </row>
    <row r="192" spans="1:11" ht="15.5" hidden="1" thickTop="1" thickBot="1" x14ac:dyDescent="0.4">
      <c r="A192" s="4" t="s">
        <v>11</v>
      </c>
      <c r="B192" s="2" t="s">
        <v>12</v>
      </c>
      <c r="C192" s="2" t="s">
        <v>63</v>
      </c>
      <c r="D192" s="2" t="s">
        <v>560</v>
      </c>
      <c r="E192" s="2" t="s">
        <v>65</v>
      </c>
      <c r="F192" s="2" t="s">
        <v>561</v>
      </c>
      <c r="G192" s="2" t="s">
        <v>70</v>
      </c>
      <c r="H192" s="2" t="s">
        <v>33</v>
      </c>
      <c r="I192" s="2" t="s">
        <v>45</v>
      </c>
      <c r="J192" s="3">
        <v>1890</v>
      </c>
      <c r="K192" s="5" t="s">
        <v>46</v>
      </c>
    </row>
    <row r="193" spans="1:11" ht="15.5" hidden="1" thickTop="1" thickBot="1" x14ac:dyDescent="0.4">
      <c r="A193" s="4" t="s">
        <v>11</v>
      </c>
      <c r="B193" s="2" t="s">
        <v>12</v>
      </c>
      <c r="C193" s="2" t="s">
        <v>28</v>
      </c>
      <c r="D193" s="2" t="s">
        <v>84</v>
      </c>
      <c r="E193" s="2" t="s">
        <v>562</v>
      </c>
      <c r="F193" s="2" t="s">
        <v>69</v>
      </c>
      <c r="G193" s="2" t="s">
        <v>87</v>
      </c>
      <c r="H193" s="2" t="s">
        <v>88</v>
      </c>
      <c r="I193" s="2" t="s">
        <v>19</v>
      </c>
      <c r="J193" s="3">
        <v>128860</v>
      </c>
      <c r="K193" s="5" t="s">
        <v>563</v>
      </c>
    </row>
    <row r="194" spans="1:11" ht="15.5" hidden="1" thickTop="1" thickBot="1" x14ac:dyDescent="0.4">
      <c r="A194" s="4" t="s">
        <v>11</v>
      </c>
      <c r="B194" s="2" t="s">
        <v>12</v>
      </c>
      <c r="C194" s="2" t="s">
        <v>28</v>
      </c>
      <c r="D194" s="2" t="s">
        <v>564</v>
      </c>
      <c r="E194" s="2" t="s">
        <v>565</v>
      </c>
      <c r="F194" s="2" t="s">
        <v>566</v>
      </c>
      <c r="G194" s="2" t="s">
        <v>50</v>
      </c>
      <c r="H194" s="2" t="s">
        <v>33</v>
      </c>
      <c r="I194" s="2" t="s">
        <v>19</v>
      </c>
      <c r="J194" s="3">
        <v>24320</v>
      </c>
      <c r="K194" s="5" t="s">
        <v>567</v>
      </c>
    </row>
    <row r="195" spans="1:11" ht="15.5" thickTop="1" thickBot="1" x14ac:dyDescent="0.4">
      <c r="A195" s="4" t="s">
        <v>11</v>
      </c>
      <c r="B195" s="2" t="s">
        <v>21</v>
      </c>
      <c r="C195" s="2" t="s">
        <v>28</v>
      </c>
      <c r="D195" s="2" t="s">
        <v>396</v>
      </c>
      <c r="E195" s="2" t="s">
        <v>347</v>
      </c>
      <c r="F195" s="2" t="s">
        <v>24</v>
      </c>
      <c r="G195" s="2" t="s">
        <v>398</v>
      </c>
      <c r="H195" s="2" t="s">
        <v>44</v>
      </c>
      <c r="I195" s="2" t="s">
        <v>45</v>
      </c>
      <c r="J195" s="3">
        <v>33050</v>
      </c>
      <c r="K195" s="5" t="s">
        <v>399</v>
      </c>
    </row>
    <row r="196" spans="1:11" ht="15.5" hidden="1" thickTop="1" thickBot="1" x14ac:dyDescent="0.4">
      <c r="A196" s="4" t="s">
        <v>11</v>
      </c>
      <c r="B196" s="2" t="s">
        <v>12</v>
      </c>
      <c r="C196" s="2" t="s">
        <v>63</v>
      </c>
      <c r="D196" s="2" t="s">
        <v>568</v>
      </c>
      <c r="E196" s="2" t="s">
        <v>569</v>
      </c>
      <c r="F196" s="2" t="s">
        <v>179</v>
      </c>
      <c r="G196" s="2" t="s">
        <v>570</v>
      </c>
      <c r="H196" s="2" t="s">
        <v>33</v>
      </c>
      <c r="I196" s="2" t="s">
        <v>45</v>
      </c>
      <c r="J196" s="2">
        <v>420</v>
      </c>
      <c r="K196" s="5" t="s">
        <v>571</v>
      </c>
    </row>
    <row r="197" spans="1:11" ht="15.5" hidden="1" thickTop="1" thickBot="1" x14ac:dyDescent="0.4">
      <c r="A197" s="4" t="s">
        <v>11</v>
      </c>
      <c r="B197" s="2" t="s">
        <v>21</v>
      </c>
      <c r="C197" s="2" t="s">
        <v>63</v>
      </c>
      <c r="D197" s="2" t="s">
        <v>572</v>
      </c>
      <c r="E197" s="2" t="s">
        <v>573</v>
      </c>
      <c r="F197" s="2" t="s">
        <v>95</v>
      </c>
      <c r="G197" s="2" t="s">
        <v>574</v>
      </c>
      <c r="H197" s="2" t="s">
        <v>33</v>
      </c>
      <c r="I197" s="2" t="s">
        <v>45</v>
      </c>
      <c r="J197" s="2">
        <v>180</v>
      </c>
      <c r="K197" s="5" t="s">
        <v>575</v>
      </c>
    </row>
    <row r="198" spans="1:11" ht="15.5" hidden="1" thickTop="1" thickBot="1" x14ac:dyDescent="0.4">
      <c r="A198" s="4" t="s">
        <v>11</v>
      </c>
      <c r="B198" s="2" t="s">
        <v>12</v>
      </c>
      <c r="C198" s="2" t="s">
        <v>28</v>
      </c>
      <c r="D198" s="2" t="s">
        <v>576</v>
      </c>
      <c r="E198" s="2" t="s">
        <v>41</v>
      </c>
      <c r="F198" s="2" t="s">
        <v>31</v>
      </c>
      <c r="G198" s="2" t="s">
        <v>50</v>
      </c>
      <c r="H198" s="2" t="s">
        <v>33</v>
      </c>
      <c r="I198" s="2" t="s">
        <v>45</v>
      </c>
      <c r="J198" s="2">
        <v>420</v>
      </c>
      <c r="K198" s="5" t="s">
        <v>46</v>
      </c>
    </row>
    <row r="199" spans="1:11" ht="15.5" hidden="1" thickTop="1" thickBot="1" x14ac:dyDescent="0.4">
      <c r="A199" s="4" t="s">
        <v>11</v>
      </c>
      <c r="B199" s="2" t="s">
        <v>12</v>
      </c>
      <c r="C199" s="2" t="s">
        <v>28</v>
      </c>
      <c r="D199" s="2" t="s">
        <v>338</v>
      </c>
      <c r="E199" s="2" t="s">
        <v>577</v>
      </c>
      <c r="F199" s="2" t="s">
        <v>24</v>
      </c>
      <c r="G199" s="2" t="s">
        <v>291</v>
      </c>
      <c r="H199" s="2" t="s">
        <v>33</v>
      </c>
      <c r="I199" s="2" t="s">
        <v>19</v>
      </c>
      <c r="J199" s="3">
        <v>97070</v>
      </c>
      <c r="K199" s="5" t="s">
        <v>578</v>
      </c>
    </row>
    <row r="200" spans="1:11" ht="15.5" hidden="1" thickTop="1" thickBot="1" x14ac:dyDescent="0.4">
      <c r="A200" s="4" t="s">
        <v>57</v>
      </c>
      <c r="B200" s="2" t="s">
        <v>12</v>
      </c>
      <c r="C200" s="2" t="s">
        <v>28</v>
      </c>
      <c r="D200" s="2" t="s">
        <v>579</v>
      </c>
      <c r="E200" s="2" t="s">
        <v>580</v>
      </c>
      <c r="F200" s="2" t="s">
        <v>141</v>
      </c>
      <c r="G200" s="2" t="s">
        <v>530</v>
      </c>
      <c r="H200" s="2" t="s">
        <v>88</v>
      </c>
      <c r="I200" s="2" t="s">
        <v>45</v>
      </c>
      <c r="J200" s="2">
        <v>250</v>
      </c>
      <c r="K200" s="5" t="s">
        <v>108</v>
      </c>
    </row>
    <row r="201" spans="1:11" ht="15.5" thickTop="1" thickBot="1" x14ac:dyDescent="0.4">
      <c r="A201" s="4" t="s">
        <v>11</v>
      </c>
      <c r="B201" s="2" t="s">
        <v>12</v>
      </c>
      <c r="C201" s="2" t="s">
        <v>13</v>
      </c>
      <c r="D201" s="2" t="s">
        <v>274</v>
      </c>
      <c r="E201" s="2" t="s">
        <v>581</v>
      </c>
      <c r="F201" s="2" t="s">
        <v>276</v>
      </c>
      <c r="G201" s="2" t="s">
        <v>70</v>
      </c>
      <c r="H201" s="2" t="s">
        <v>44</v>
      </c>
      <c r="I201" s="2" t="s">
        <v>45</v>
      </c>
      <c r="J201" s="2">
        <v>780</v>
      </c>
      <c r="K201" s="5" t="s">
        <v>46</v>
      </c>
    </row>
    <row r="202" spans="1:11" ht="15.5" hidden="1" thickTop="1" thickBot="1" x14ac:dyDescent="0.4">
      <c r="A202" s="4" t="s">
        <v>57</v>
      </c>
      <c r="B202" s="2" t="s">
        <v>12</v>
      </c>
      <c r="C202" s="2" t="s">
        <v>28</v>
      </c>
      <c r="D202" s="2" t="s">
        <v>320</v>
      </c>
      <c r="E202" s="2" t="s">
        <v>321</v>
      </c>
      <c r="F202" s="2" t="s">
        <v>24</v>
      </c>
      <c r="G202" s="2" t="s">
        <v>322</v>
      </c>
      <c r="H202" s="2" t="s">
        <v>33</v>
      </c>
      <c r="I202" s="2" t="s">
        <v>19</v>
      </c>
      <c r="J202" s="3">
        <v>10100</v>
      </c>
      <c r="K202" s="5" t="s">
        <v>198</v>
      </c>
    </row>
    <row r="203" spans="1:11" ht="15.5" hidden="1" thickTop="1" thickBot="1" x14ac:dyDescent="0.4">
      <c r="A203" s="4" t="s">
        <v>11</v>
      </c>
      <c r="B203" s="2" t="s">
        <v>75</v>
      </c>
      <c r="C203" s="2" t="s">
        <v>63</v>
      </c>
      <c r="D203" s="2" t="s">
        <v>234</v>
      </c>
      <c r="E203" s="2" t="s">
        <v>65</v>
      </c>
      <c r="F203" s="2" t="s">
        <v>225</v>
      </c>
      <c r="G203" s="2" t="s">
        <v>70</v>
      </c>
      <c r="H203" s="2" t="s">
        <v>33</v>
      </c>
      <c r="I203" s="2" t="s">
        <v>45</v>
      </c>
      <c r="J203" s="2">
        <v>420</v>
      </c>
      <c r="K203" s="5" t="s">
        <v>46</v>
      </c>
    </row>
    <row r="204" spans="1:11" ht="15.5" hidden="1" thickTop="1" thickBot="1" x14ac:dyDescent="0.4">
      <c r="A204" s="4" t="s">
        <v>57</v>
      </c>
      <c r="B204" s="2" t="s">
        <v>21</v>
      </c>
      <c r="C204" s="2" t="s">
        <v>28</v>
      </c>
      <c r="D204" s="2" t="s">
        <v>521</v>
      </c>
      <c r="E204" s="2"/>
      <c r="F204" s="2" t="s">
        <v>582</v>
      </c>
      <c r="G204" s="2" t="s">
        <v>523</v>
      </c>
      <c r="H204" s="2" t="s">
        <v>33</v>
      </c>
      <c r="I204" s="2" t="s">
        <v>45</v>
      </c>
      <c r="J204" s="2">
        <v>910</v>
      </c>
      <c r="K204" s="5" t="s">
        <v>46</v>
      </c>
    </row>
    <row r="205" spans="1:11" ht="15.5" thickTop="1" thickBot="1" x14ac:dyDescent="0.4">
      <c r="A205" s="4" t="s">
        <v>11</v>
      </c>
      <c r="B205" s="2" t="s">
        <v>12</v>
      </c>
      <c r="C205" s="2" t="s">
        <v>13</v>
      </c>
      <c r="D205" s="2" t="s">
        <v>583</v>
      </c>
      <c r="E205" s="2" t="s">
        <v>584</v>
      </c>
      <c r="F205" s="2" t="s">
        <v>31</v>
      </c>
      <c r="G205" s="2" t="s">
        <v>168</v>
      </c>
      <c r="H205" s="2" t="s">
        <v>44</v>
      </c>
      <c r="I205" s="2" t="s">
        <v>45</v>
      </c>
      <c r="J205" s="2">
        <v>660</v>
      </c>
      <c r="K205" s="5" t="s">
        <v>585</v>
      </c>
    </row>
    <row r="206" spans="1:11" ht="15.5" hidden="1" thickTop="1" thickBot="1" x14ac:dyDescent="0.4">
      <c r="A206" s="4" t="s">
        <v>11</v>
      </c>
      <c r="B206" s="2" t="s">
        <v>75</v>
      </c>
      <c r="C206" s="2" t="s">
        <v>28</v>
      </c>
      <c r="D206" s="2" t="s">
        <v>586</v>
      </c>
      <c r="E206" s="2" t="s">
        <v>587</v>
      </c>
      <c r="F206" s="2" t="s">
        <v>179</v>
      </c>
      <c r="G206" s="2" t="s">
        <v>588</v>
      </c>
      <c r="H206" s="2" t="s">
        <v>33</v>
      </c>
      <c r="I206" s="2" t="s">
        <v>45</v>
      </c>
      <c r="J206" s="3">
        <v>3800</v>
      </c>
      <c r="K206" s="5" t="s">
        <v>46</v>
      </c>
    </row>
    <row r="207" spans="1:11" ht="15.5" hidden="1" thickTop="1" thickBot="1" x14ac:dyDescent="0.4">
      <c r="A207" s="4" t="s">
        <v>11</v>
      </c>
      <c r="B207" s="2" t="s">
        <v>12</v>
      </c>
      <c r="C207" s="2" t="s">
        <v>28</v>
      </c>
      <c r="D207" s="2" t="s">
        <v>170</v>
      </c>
      <c r="E207" s="2" t="s">
        <v>171</v>
      </c>
      <c r="F207" s="2" t="s">
        <v>279</v>
      </c>
      <c r="G207" s="2" t="s">
        <v>172</v>
      </c>
      <c r="H207" s="2" t="s">
        <v>33</v>
      </c>
      <c r="I207" s="2" t="s">
        <v>19</v>
      </c>
      <c r="J207" s="3">
        <v>9020</v>
      </c>
      <c r="K207" s="5" t="s">
        <v>589</v>
      </c>
    </row>
    <row r="208" spans="1:11" ht="15.5" hidden="1" thickTop="1" thickBot="1" x14ac:dyDescent="0.4">
      <c r="A208" s="4" t="s">
        <v>11</v>
      </c>
      <c r="B208" s="2" t="s">
        <v>12</v>
      </c>
      <c r="C208" s="2" t="s">
        <v>28</v>
      </c>
      <c r="D208" s="2" t="s">
        <v>590</v>
      </c>
      <c r="E208" s="2" t="s">
        <v>591</v>
      </c>
      <c r="F208" s="2" t="s">
        <v>24</v>
      </c>
      <c r="G208" s="2" t="s">
        <v>592</v>
      </c>
      <c r="H208" s="2" t="s">
        <v>33</v>
      </c>
      <c r="I208" s="2" t="s">
        <v>19</v>
      </c>
      <c r="J208" s="3">
        <v>3780</v>
      </c>
      <c r="K208" s="5" t="s">
        <v>39</v>
      </c>
    </row>
    <row r="209" spans="1:11" ht="15.5" hidden="1" thickTop="1" thickBot="1" x14ac:dyDescent="0.4">
      <c r="A209" s="4" t="s">
        <v>57</v>
      </c>
      <c r="B209" s="2" t="s">
        <v>75</v>
      </c>
      <c r="C209" s="2" t="s">
        <v>13</v>
      </c>
      <c r="D209" s="2" t="s">
        <v>593</v>
      </c>
      <c r="E209" s="2" t="s">
        <v>594</v>
      </c>
      <c r="F209" s="2" t="s">
        <v>69</v>
      </c>
      <c r="G209" s="2" t="s">
        <v>70</v>
      </c>
      <c r="H209" s="2" t="s">
        <v>33</v>
      </c>
      <c r="I209" s="2" t="s">
        <v>45</v>
      </c>
      <c r="J209" s="2">
        <v>900</v>
      </c>
      <c r="K209" s="5" t="s">
        <v>46</v>
      </c>
    </row>
    <row r="210" spans="1:11" ht="15.5" hidden="1" thickTop="1" thickBot="1" x14ac:dyDescent="0.4">
      <c r="A210" s="4" t="s">
        <v>11</v>
      </c>
      <c r="B210" s="2" t="s">
        <v>12</v>
      </c>
      <c r="C210" s="2" t="s">
        <v>63</v>
      </c>
      <c r="D210" s="2" t="s">
        <v>315</v>
      </c>
      <c r="E210" s="2" t="s">
        <v>65</v>
      </c>
      <c r="F210" s="2" t="s">
        <v>276</v>
      </c>
      <c r="G210" s="2" t="s">
        <v>288</v>
      </c>
      <c r="H210" s="2" t="s">
        <v>33</v>
      </c>
      <c r="I210" s="2" t="s">
        <v>19</v>
      </c>
      <c r="J210" s="3">
        <v>2780</v>
      </c>
      <c r="K210" s="5" t="s">
        <v>46</v>
      </c>
    </row>
    <row r="211" spans="1:11" ht="15.5" hidden="1" thickTop="1" thickBot="1" x14ac:dyDescent="0.4">
      <c r="A211" s="4" t="s">
        <v>11</v>
      </c>
      <c r="B211" s="2" t="s">
        <v>12</v>
      </c>
      <c r="C211" s="2" t="s">
        <v>28</v>
      </c>
      <c r="D211" s="2" t="s">
        <v>595</v>
      </c>
      <c r="E211" s="2" t="s">
        <v>59</v>
      </c>
      <c r="F211" s="2" t="s">
        <v>49</v>
      </c>
      <c r="G211" s="2" t="s">
        <v>596</v>
      </c>
      <c r="H211" s="2" t="s">
        <v>33</v>
      </c>
      <c r="I211" s="2" t="s">
        <v>19</v>
      </c>
      <c r="J211" s="3">
        <v>3760</v>
      </c>
      <c r="K211" s="5" t="s">
        <v>136</v>
      </c>
    </row>
    <row r="212" spans="1:11" ht="15.5" hidden="1" thickTop="1" thickBot="1" x14ac:dyDescent="0.4">
      <c r="A212" s="4" t="s">
        <v>11</v>
      </c>
      <c r="B212" s="2" t="s">
        <v>12</v>
      </c>
      <c r="C212" s="2" t="s">
        <v>63</v>
      </c>
      <c r="D212" s="2" t="s">
        <v>597</v>
      </c>
      <c r="E212" s="2" t="s">
        <v>65</v>
      </c>
      <c r="F212" s="2" t="s">
        <v>141</v>
      </c>
      <c r="G212" s="2" t="s">
        <v>598</v>
      </c>
      <c r="H212" s="2" t="s">
        <v>33</v>
      </c>
      <c r="I212" s="2" t="s">
        <v>45</v>
      </c>
      <c r="J212" s="2">
        <v>270</v>
      </c>
      <c r="K212" s="5" t="s">
        <v>46</v>
      </c>
    </row>
    <row r="213" spans="1:11" ht="15.5" thickTop="1" thickBot="1" x14ac:dyDescent="0.4">
      <c r="A213" s="4" t="s">
        <v>11</v>
      </c>
      <c r="B213" s="2" t="s">
        <v>12</v>
      </c>
      <c r="C213" s="2" t="s">
        <v>28</v>
      </c>
      <c r="D213" s="2" t="s">
        <v>599</v>
      </c>
      <c r="E213" s="2" t="s">
        <v>372</v>
      </c>
      <c r="F213" s="2" t="s">
        <v>31</v>
      </c>
      <c r="G213" s="2" t="s">
        <v>600</v>
      </c>
      <c r="H213" s="2" t="s">
        <v>44</v>
      </c>
      <c r="I213" s="2" t="s">
        <v>19</v>
      </c>
      <c r="J213" s="3">
        <v>62010</v>
      </c>
      <c r="K213" s="5" t="s">
        <v>601</v>
      </c>
    </row>
    <row r="214" spans="1:11" ht="15.5" hidden="1" thickTop="1" thickBot="1" x14ac:dyDescent="0.4">
      <c r="A214" s="4" t="s">
        <v>11</v>
      </c>
      <c r="B214" s="2" t="s">
        <v>75</v>
      </c>
      <c r="C214" s="2" t="s">
        <v>28</v>
      </c>
      <c r="D214" s="2" t="s">
        <v>602</v>
      </c>
      <c r="E214" s="2" t="s">
        <v>569</v>
      </c>
      <c r="F214" s="2" t="s">
        <v>66</v>
      </c>
      <c r="G214" s="2" t="s">
        <v>603</v>
      </c>
      <c r="H214" s="2" t="s">
        <v>18</v>
      </c>
      <c r="I214" s="2" t="s">
        <v>19</v>
      </c>
      <c r="J214" s="3">
        <v>55120</v>
      </c>
      <c r="K214" s="5" t="s">
        <v>604</v>
      </c>
    </row>
    <row r="215" spans="1:11" ht="15.5" hidden="1" thickTop="1" thickBot="1" x14ac:dyDescent="0.4">
      <c r="A215" s="4" t="s">
        <v>11</v>
      </c>
      <c r="B215" s="2" t="s">
        <v>12</v>
      </c>
      <c r="C215" s="2" t="s">
        <v>28</v>
      </c>
      <c r="D215" s="2" t="s">
        <v>507</v>
      </c>
      <c r="E215" s="2" t="s">
        <v>508</v>
      </c>
      <c r="F215" s="2" t="s">
        <v>24</v>
      </c>
      <c r="G215" s="2" t="s">
        <v>509</v>
      </c>
      <c r="H215" s="2" t="s">
        <v>88</v>
      </c>
      <c r="I215" s="2" t="s">
        <v>19</v>
      </c>
      <c r="J215" s="3">
        <v>37970</v>
      </c>
      <c r="K215" s="5" t="s">
        <v>187</v>
      </c>
    </row>
    <row r="216" spans="1:11" ht="15.5" hidden="1" thickTop="1" thickBot="1" x14ac:dyDescent="0.4">
      <c r="A216" s="4" t="s">
        <v>11</v>
      </c>
      <c r="B216" s="2" t="s">
        <v>12</v>
      </c>
      <c r="C216" s="2" t="s">
        <v>28</v>
      </c>
      <c r="D216" s="2" t="s">
        <v>576</v>
      </c>
      <c r="E216" s="2" t="s">
        <v>41</v>
      </c>
      <c r="F216" s="2" t="s">
        <v>31</v>
      </c>
      <c r="G216" s="2" t="s">
        <v>50</v>
      </c>
      <c r="H216" s="2" t="s">
        <v>33</v>
      </c>
      <c r="I216" s="2" t="s">
        <v>45</v>
      </c>
      <c r="J216" s="2">
        <v>420</v>
      </c>
      <c r="K216" s="5" t="s">
        <v>46</v>
      </c>
    </row>
    <row r="217" spans="1:11" ht="15.5" hidden="1" thickTop="1" thickBot="1" x14ac:dyDescent="0.4">
      <c r="A217" s="4" t="s">
        <v>11</v>
      </c>
      <c r="B217" s="2" t="s">
        <v>75</v>
      </c>
      <c r="C217" s="2" t="s">
        <v>13</v>
      </c>
      <c r="D217" s="2" t="s">
        <v>605</v>
      </c>
      <c r="E217" s="2" t="s">
        <v>606</v>
      </c>
      <c r="F217" s="2" t="s">
        <v>279</v>
      </c>
      <c r="G217" s="2" t="s">
        <v>67</v>
      </c>
      <c r="H217" s="2" t="s">
        <v>18</v>
      </c>
      <c r="I217" s="2" t="s">
        <v>19</v>
      </c>
      <c r="J217" s="3">
        <v>17010</v>
      </c>
      <c r="K217" s="5" t="s">
        <v>46</v>
      </c>
    </row>
    <row r="218" spans="1:11" ht="15.5" hidden="1" thickTop="1" thickBot="1" x14ac:dyDescent="0.4">
      <c r="A218" s="4" t="s">
        <v>11</v>
      </c>
      <c r="B218" s="2" t="s">
        <v>12</v>
      </c>
      <c r="C218" s="2" t="s">
        <v>28</v>
      </c>
      <c r="D218" s="2" t="s">
        <v>607</v>
      </c>
      <c r="E218" s="2" t="s">
        <v>167</v>
      </c>
      <c r="F218" s="2" t="s">
        <v>306</v>
      </c>
      <c r="G218" s="2" t="s">
        <v>608</v>
      </c>
      <c r="H218" s="2" t="s">
        <v>33</v>
      </c>
      <c r="I218" s="2" t="s">
        <v>19</v>
      </c>
      <c r="J218" s="3">
        <v>8270</v>
      </c>
      <c r="K218" s="5" t="s">
        <v>609</v>
      </c>
    </row>
    <row r="219" spans="1:11" ht="15.5" thickTop="1" thickBot="1" x14ac:dyDescent="0.4">
      <c r="A219" s="4" t="s">
        <v>11</v>
      </c>
      <c r="B219" s="2" t="s">
        <v>12</v>
      </c>
      <c r="C219" s="2" t="s">
        <v>63</v>
      </c>
      <c r="D219" s="2" t="s">
        <v>531</v>
      </c>
      <c r="E219" s="2" t="s">
        <v>91</v>
      </c>
      <c r="F219" s="2" t="s">
        <v>31</v>
      </c>
      <c r="G219" s="2" t="s">
        <v>533</v>
      </c>
      <c r="H219" s="2" t="s">
        <v>44</v>
      </c>
      <c r="I219" s="2" t="s">
        <v>19</v>
      </c>
      <c r="J219" s="3">
        <v>7290</v>
      </c>
      <c r="K219" s="5" t="s">
        <v>534</v>
      </c>
    </row>
    <row r="220" spans="1:11" ht="15.5" hidden="1" thickTop="1" thickBot="1" x14ac:dyDescent="0.4">
      <c r="A220" s="4" t="s">
        <v>57</v>
      </c>
      <c r="B220" s="2" t="s">
        <v>75</v>
      </c>
      <c r="C220" s="2" t="s">
        <v>28</v>
      </c>
      <c r="D220" s="2" t="s">
        <v>528</v>
      </c>
      <c r="E220" s="2" t="s">
        <v>48</v>
      </c>
      <c r="F220" s="2" t="s">
        <v>95</v>
      </c>
      <c r="G220" s="2" t="s">
        <v>530</v>
      </c>
      <c r="H220" s="2" t="s">
        <v>33</v>
      </c>
      <c r="I220" s="2" t="s">
        <v>45</v>
      </c>
      <c r="J220" s="3">
        <v>14060</v>
      </c>
      <c r="K220" s="5" t="s">
        <v>610</v>
      </c>
    </row>
    <row r="221" spans="1:11" ht="15.5" hidden="1" thickTop="1" thickBot="1" x14ac:dyDescent="0.4">
      <c r="A221" s="4" t="s">
        <v>11</v>
      </c>
      <c r="B221" s="2" t="s">
        <v>12</v>
      </c>
      <c r="C221" s="2" t="s">
        <v>28</v>
      </c>
      <c r="D221" s="2" t="s">
        <v>611</v>
      </c>
      <c r="E221" s="2" t="s">
        <v>41</v>
      </c>
      <c r="F221" s="2" t="s">
        <v>612</v>
      </c>
      <c r="G221" s="2" t="s">
        <v>70</v>
      </c>
      <c r="H221" s="2" t="s">
        <v>33</v>
      </c>
      <c r="I221" s="2" t="s">
        <v>45</v>
      </c>
      <c r="J221" s="2">
        <v>320</v>
      </c>
      <c r="K221" s="5" t="s">
        <v>46</v>
      </c>
    </row>
    <row r="222" spans="1:11" ht="15.5" hidden="1" thickTop="1" thickBot="1" x14ac:dyDescent="0.4">
      <c r="A222" s="4" t="s">
        <v>11</v>
      </c>
      <c r="B222" s="2" t="s">
        <v>75</v>
      </c>
      <c r="C222" s="2" t="s">
        <v>28</v>
      </c>
      <c r="D222" s="2" t="s">
        <v>613</v>
      </c>
      <c r="E222" s="2" t="s">
        <v>122</v>
      </c>
      <c r="F222" s="2" t="s">
        <v>24</v>
      </c>
      <c r="G222" s="2" t="s">
        <v>614</v>
      </c>
      <c r="H222" s="2" t="s">
        <v>33</v>
      </c>
      <c r="I222" s="2" t="s">
        <v>19</v>
      </c>
      <c r="J222" s="3">
        <v>9770</v>
      </c>
      <c r="K222" s="5" t="s">
        <v>615</v>
      </c>
    </row>
    <row r="223" spans="1:11" ht="15.5" thickTop="1" thickBot="1" x14ac:dyDescent="0.4">
      <c r="A223" s="4" t="s">
        <v>11</v>
      </c>
      <c r="B223" s="2" t="s">
        <v>12</v>
      </c>
      <c r="C223" s="2" t="s">
        <v>28</v>
      </c>
      <c r="D223" s="2" t="s">
        <v>616</v>
      </c>
      <c r="E223" s="2" t="s">
        <v>72</v>
      </c>
      <c r="F223" s="2" t="s">
        <v>31</v>
      </c>
      <c r="G223" s="2" t="s">
        <v>617</v>
      </c>
      <c r="H223" s="2" t="s">
        <v>44</v>
      </c>
      <c r="I223" s="2" t="s">
        <v>45</v>
      </c>
      <c r="J223" s="3">
        <v>1280</v>
      </c>
      <c r="K223" s="5" t="s">
        <v>618</v>
      </c>
    </row>
    <row r="224" spans="1:11" ht="15.5" hidden="1" thickTop="1" thickBot="1" x14ac:dyDescent="0.4">
      <c r="A224" s="4" t="s">
        <v>11</v>
      </c>
      <c r="B224" s="2" t="s">
        <v>12</v>
      </c>
      <c r="C224" s="2" t="s">
        <v>13</v>
      </c>
      <c r="D224" s="2" t="s">
        <v>619</v>
      </c>
      <c r="E224" s="2" t="s">
        <v>620</v>
      </c>
      <c r="F224" s="2" t="s">
        <v>24</v>
      </c>
      <c r="G224" s="2" t="s">
        <v>621</v>
      </c>
      <c r="H224" s="2" t="s">
        <v>33</v>
      </c>
      <c r="I224" s="2" t="s">
        <v>19</v>
      </c>
      <c r="J224" s="2">
        <v>351</v>
      </c>
      <c r="K224" s="5" t="s">
        <v>622</v>
      </c>
    </row>
    <row r="225" spans="1:11" ht="15.5" hidden="1" thickTop="1" thickBot="1" x14ac:dyDescent="0.4">
      <c r="A225" s="4" t="s">
        <v>11</v>
      </c>
      <c r="B225" s="2" t="s">
        <v>12</v>
      </c>
      <c r="C225" s="2" t="s">
        <v>13</v>
      </c>
      <c r="D225" s="2" t="s">
        <v>623</v>
      </c>
      <c r="E225" s="2" t="s">
        <v>240</v>
      </c>
      <c r="F225" s="2" t="s">
        <v>31</v>
      </c>
      <c r="G225" s="2" t="s">
        <v>38</v>
      </c>
      <c r="H225" s="2" t="s">
        <v>33</v>
      </c>
      <c r="I225" s="2" t="s">
        <v>19</v>
      </c>
      <c r="J225" s="3">
        <v>98130</v>
      </c>
      <c r="K225" s="5" t="s">
        <v>624</v>
      </c>
    </row>
    <row r="226" spans="1:11" ht="15.5" thickTop="1" thickBot="1" x14ac:dyDescent="0.4">
      <c r="A226" s="4" t="s">
        <v>11</v>
      </c>
      <c r="B226" s="2" t="s">
        <v>12</v>
      </c>
      <c r="C226" s="2" t="s">
        <v>63</v>
      </c>
      <c r="D226" s="2" t="s">
        <v>625</v>
      </c>
      <c r="E226" s="2" t="s">
        <v>626</v>
      </c>
      <c r="F226" s="2" t="s">
        <v>141</v>
      </c>
      <c r="G226" s="2" t="s">
        <v>147</v>
      </c>
      <c r="H226" s="2" t="s">
        <v>44</v>
      </c>
      <c r="I226" s="2" t="s">
        <v>19</v>
      </c>
      <c r="J226" s="3">
        <v>2810</v>
      </c>
      <c r="K226" s="5" t="s">
        <v>329</v>
      </c>
    </row>
    <row r="227" spans="1:11" ht="15.5" hidden="1" thickTop="1" thickBot="1" x14ac:dyDescent="0.4">
      <c r="A227" s="4" t="s">
        <v>11</v>
      </c>
      <c r="B227" s="2" t="s">
        <v>75</v>
      </c>
      <c r="C227" s="2" t="s">
        <v>63</v>
      </c>
      <c r="D227" s="2" t="s">
        <v>627</v>
      </c>
      <c r="E227" s="2" t="s">
        <v>628</v>
      </c>
      <c r="F227" s="2" t="s">
        <v>24</v>
      </c>
      <c r="G227" s="2" t="s">
        <v>629</v>
      </c>
      <c r="H227" s="2" t="s">
        <v>33</v>
      </c>
      <c r="I227" s="2" t="s">
        <v>19</v>
      </c>
      <c r="J227" s="2" t="s">
        <v>45</v>
      </c>
      <c r="K227" s="5" t="s">
        <v>83</v>
      </c>
    </row>
    <row r="228" spans="1:11" ht="15.5" hidden="1" thickTop="1" thickBot="1" x14ac:dyDescent="0.4">
      <c r="A228" s="4" t="s">
        <v>11</v>
      </c>
      <c r="B228" s="2" t="s">
        <v>12</v>
      </c>
      <c r="C228" s="2" t="s">
        <v>28</v>
      </c>
      <c r="D228" s="2" t="s">
        <v>630</v>
      </c>
      <c r="E228" s="2" t="s">
        <v>631</v>
      </c>
      <c r="F228" s="2" t="s">
        <v>31</v>
      </c>
      <c r="G228" s="2" t="s">
        <v>632</v>
      </c>
      <c r="H228" s="2" t="s">
        <v>33</v>
      </c>
      <c r="I228" s="2" t="s">
        <v>19</v>
      </c>
      <c r="J228" s="3">
        <v>2520</v>
      </c>
      <c r="K228" s="5" t="s">
        <v>39</v>
      </c>
    </row>
    <row r="229" spans="1:11" ht="15.5" hidden="1" thickTop="1" thickBot="1" x14ac:dyDescent="0.4">
      <c r="A229" s="4" t="s">
        <v>11</v>
      </c>
      <c r="B229" s="2" t="s">
        <v>12</v>
      </c>
      <c r="C229" s="2" t="s">
        <v>13</v>
      </c>
      <c r="D229" s="2" t="s">
        <v>633</v>
      </c>
      <c r="E229" s="2" t="s">
        <v>189</v>
      </c>
      <c r="F229" s="2" t="s">
        <v>31</v>
      </c>
      <c r="G229" s="2" t="s">
        <v>50</v>
      </c>
      <c r="H229" s="2" t="s">
        <v>33</v>
      </c>
      <c r="I229" s="2" t="s">
        <v>45</v>
      </c>
      <c r="J229" s="2">
        <v>500</v>
      </c>
      <c r="K229" s="5" t="s">
        <v>46</v>
      </c>
    </row>
    <row r="230" spans="1:11" ht="15.5" hidden="1" thickTop="1" thickBot="1" x14ac:dyDescent="0.4">
      <c r="A230" s="4" t="s">
        <v>11</v>
      </c>
      <c r="B230" s="2" t="s">
        <v>12</v>
      </c>
      <c r="C230" s="2" t="s">
        <v>63</v>
      </c>
      <c r="D230" s="2" t="s">
        <v>634</v>
      </c>
      <c r="E230" s="2" t="s">
        <v>635</v>
      </c>
      <c r="F230" s="2" t="s">
        <v>146</v>
      </c>
      <c r="G230" s="2" t="s">
        <v>370</v>
      </c>
      <c r="H230" s="2" t="s">
        <v>33</v>
      </c>
      <c r="I230" s="2" t="s">
        <v>45</v>
      </c>
      <c r="J230" s="3">
        <v>5560</v>
      </c>
      <c r="K230" s="5" t="s">
        <v>636</v>
      </c>
    </row>
    <row r="231" spans="1:11" ht="15.5" hidden="1" thickTop="1" thickBot="1" x14ac:dyDescent="0.4">
      <c r="A231" s="4" t="s">
        <v>11</v>
      </c>
      <c r="B231" s="2" t="s">
        <v>21</v>
      </c>
      <c r="C231" s="2" t="s">
        <v>13</v>
      </c>
      <c r="D231" s="2" t="s">
        <v>637</v>
      </c>
      <c r="E231" s="2" t="s">
        <v>638</v>
      </c>
      <c r="F231" s="2" t="s">
        <v>179</v>
      </c>
      <c r="G231" s="2" t="s">
        <v>354</v>
      </c>
      <c r="H231" s="2" t="s">
        <v>33</v>
      </c>
      <c r="I231" s="2" t="s">
        <v>45</v>
      </c>
      <c r="J231" s="2">
        <v>126</v>
      </c>
      <c r="K231" s="5" t="s">
        <v>46</v>
      </c>
    </row>
    <row r="232" spans="1:11" ht="15.5" hidden="1" thickTop="1" thickBot="1" x14ac:dyDescent="0.4">
      <c r="A232" s="4" t="s">
        <v>11</v>
      </c>
      <c r="B232" s="2" t="s">
        <v>12</v>
      </c>
      <c r="C232" s="2" t="s">
        <v>13</v>
      </c>
      <c r="D232" s="2" t="s">
        <v>639</v>
      </c>
      <c r="E232" s="2" t="s">
        <v>145</v>
      </c>
      <c r="F232" s="2" t="s">
        <v>225</v>
      </c>
      <c r="G232" s="2" t="s">
        <v>70</v>
      </c>
      <c r="H232" s="2" t="s">
        <v>33</v>
      </c>
      <c r="I232" s="2" t="s">
        <v>45</v>
      </c>
      <c r="J232" s="2">
        <v>45</v>
      </c>
      <c r="K232" s="5" t="s">
        <v>446</v>
      </c>
    </row>
    <row r="233" spans="1:11" ht="15.5" hidden="1" thickTop="1" thickBot="1" x14ac:dyDescent="0.4">
      <c r="A233" s="4" t="s">
        <v>11</v>
      </c>
      <c r="B233" s="2" t="s">
        <v>75</v>
      </c>
      <c r="C233" s="2" t="s">
        <v>13</v>
      </c>
      <c r="D233" s="2" t="s">
        <v>640</v>
      </c>
      <c r="E233" s="2" t="s">
        <v>13</v>
      </c>
      <c r="F233" s="2" t="s">
        <v>31</v>
      </c>
      <c r="G233" s="2" t="s">
        <v>111</v>
      </c>
      <c r="H233" s="2" t="s">
        <v>33</v>
      </c>
      <c r="I233" s="2" t="s">
        <v>45</v>
      </c>
      <c r="J233" s="2">
        <v>56</v>
      </c>
      <c r="K233" s="5" t="s">
        <v>46</v>
      </c>
    </row>
    <row r="234" spans="1:11" ht="15.5" thickTop="1" thickBot="1" x14ac:dyDescent="0.4">
      <c r="A234" s="4" t="s">
        <v>11</v>
      </c>
      <c r="B234" s="2" t="s">
        <v>12</v>
      </c>
      <c r="C234" s="2" t="s">
        <v>28</v>
      </c>
      <c r="D234" s="2" t="s">
        <v>641</v>
      </c>
      <c r="E234" s="2" t="s">
        <v>119</v>
      </c>
      <c r="F234" s="2" t="s">
        <v>279</v>
      </c>
      <c r="G234" s="2" t="s">
        <v>111</v>
      </c>
      <c r="H234" s="2" t="s">
        <v>44</v>
      </c>
      <c r="I234" s="2" t="s">
        <v>45</v>
      </c>
      <c r="J234" s="3">
        <v>45050</v>
      </c>
      <c r="K234" s="5" t="s">
        <v>143</v>
      </c>
    </row>
    <row r="235" spans="1:11" ht="15.5" hidden="1" thickTop="1" thickBot="1" x14ac:dyDescent="0.4">
      <c r="A235" s="4" t="s">
        <v>11</v>
      </c>
      <c r="B235" s="2" t="s">
        <v>12</v>
      </c>
      <c r="C235" s="2" t="s">
        <v>28</v>
      </c>
      <c r="D235" s="2" t="s">
        <v>166</v>
      </c>
      <c r="E235" s="2" t="s">
        <v>167</v>
      </c>
      <c r="F235" s="2" t="s">
        <v>279</v>
      </c>
      <c r="G235" s="2" t="s">
        <v>168</v>
      </c>
      <c r="H235" s="2" t="s">
        <v>33</v>
      </c>
      <c r="I235" s="2" t="s">
        <v>45</v>
      </c>
      <c r="J235" s="2">
        <v>210</v>
      </c>
      <c r="K235" s="5" t="s">
        <v>601</v>
      </c>
    </row>
    <row r="236" spans="1:11" ht="15.5" hidden="1" thickTop="1" thickBot="1" x14ac:dyDescent="0.4">
      <c r="A236" s="4" t="s">
        <v>11</v>
      </c>
      <c r="B236" s="2" t="s">
        <v>75</v>
      </c>
      <c r="C236" s="2" t="s">
        <v>28</v>
      </c>
      <c r="D236" s="2" t="s">
        <v>642</v>
      </c>
      <c r="E236" s="2" t="s">
        <v>643</v>
      </c>
      <c r="F236" s="2" t="s">
        <v>179</v>
      </c>
      <c r="G236" s="2" t="s">
        <v>70</v>
      </c>
      <c r="H236" s="2" t="s">
        <v>33</v>
      </c>
      <c r="I236" s="2" t="s">
        <v>45</v>
      </c>
      <c r="J236" s="2">
        <v>150</v>
      </c>
      <c r="K236" s="5" t="s">
        <v>46</v>
      </c>
    </row>
    <row r="237" spans="1:11" ht="15.5" hidden="1" thickTop="1" thickBot="1" x14ac:dyDescent="0.4">
      <c r="A237" s="4" t="s">
        <v>11</v>
      </c>
      <c r="B237" s="2" t="s">
        <v>12</v>
      </c>
      <c r="C237" s="2" t="s">
        <v>28</v>
      </c>
      <c r="D237" s="2" t="s">
        <v>644</v>
      </c>
      <c r="E237" s="2" t="s">
        <v>645</v>
      </c>
      <c r="F237" s="2" t="s">
        <v>31</v>
      </c>
      <c r="G237" s="2" t="s">
        <v>405</v>
      </c>
      <c r="H237" s="2" t="s">
        <v>33</v>
      </c>
      <c r="I237" s="2" t="s">
        <v>19</v>
      </c>
      <c r="J237" s="3">
        <v>1800</v>
      </c>
      <c r="K237" s="5" t="s">
        <v>646</v>
      </c>
    </row>
    <row r="238" spans="1:11" ht="15.5" hidden="1" thickTop="1" thickBot="1" x14ac:dyDescent="0.4">
      <c r="A238" s="4" t="s">
        <v>11</v>
      </c>
      <c r="B238" s="2" t="s">
        <v>21</v>
      </c>
      <c r="C238" s="2" t="s">
        <v>28</v>
      </c>
      <c r="D238" s="2" t="s">
        <v>647</v>
      </c>
      <c r="E238" s="2" t="s">
        <v>648</v>
      </c>
      <c r="F238" s="2" t="s">
        <v>66</v>
      </c>
      <c r="G238" s="2" t="s">
        <v>50</v>
      </c>
      <c r="H238" s="2" t="s">
        <v>33</v>
      </c>
      <c r="I238" s="2" t="s">
        <v>45</v>
      </c>
      <c r="J238" s="3">
        <v>1020</v>
      </c>
      <c r="K238" s="5" t="s">
        <v>329</v>
      </c>
    </row>
    <row r="239" spans="1:11" ht="15.5" hidden="1" thickTop="1" thickBot="1" x14ac:dyDescent="0.4">
      <c r="A239" s="4" t="s">
        <v>11</v>
      </c>
      <c r="B239" s="2" t="s">
        <v>12</v>
      </c>
      <c r="C239" s="2" t="s">
        <v>28</v>
      </c>
      <c r="D239" s="2" t="s">
        <v>649</v>
      </c>
      <c r="E239" s="2" t="s">
        <v>650</v>
      </c>
      <c r="F239" s="2" t="s">
        <v>49</v>
      </c>
      <c r="G239" s="2" t="s">
        <v>651</v>
      </c>
      <c r="H239" s="2" t="s">
        <v>33</v>
      </c>
      <c r="I239" s="2" t="s">
        <v>45</v>
      </c>
      <c r="J239" s="2">
        <v>45</v>
      </c>
      <c r="K239" s="5" t="s">
        <v>46</v>
      </c>
    </row>
    <row r="240" spans="1:11" ht="15.5" hidden="1" thickTop="1" thickBot="1" x14ac:dyDescent="0.4">
      <c r="A240" s="4" t="s">
        <v>11</v>
      </c>
      <c r="B240" s="2" t="s">
        <v>75</v>
      </c>
      <c r="C240" s="2" t="s">
        <v>63</v>
      </c>
      <c r="D240" s="2" t="s">
        <v>627</v>
      </c>
      <c r="E240" s="2" t="s">
        <v>652</v>
      </c>
      <c r="F240" s="2" t="s">
        <v>95</v>
      </c>
      <c r="G240" s="2" t="s">
        <v>629</v>
      </c>
      <c r="H240" s="2" t="s">
        <v>33</v>
      </c>
      <c r="I240" s="2" t="s">
        <v>19</v>
      </c>
      <c r="J240" s="2" t="s">
        <v>45</v>
      </c>
      <c r="K240" s="5" t="s">
        <v>83</v>
      </c>
    </row>
    <row r="241" spans="1:11" ht="15.5" hidden="1" thickTop="1" thickBot="1" x14ac:dyDescent="0.4">
      <c r="A241" s="4" t="s">
        <v>11</v>
      </c>
      <c r="B241" s="2" t="s">
        <v>75</v>
      </c>
      <c r="C241" s="2" t="s">
        <v>28</v>
      </c>
      <c r="D241" s="2" t="s">
        <v>653</v>
      </c>
      <c r="E241" s="2" t="s">
        <v>654</v>
      </c>
      <c r="F241" s="2" t="s">
        <v>86</v>
      </c>
      <c r="G241" s="2" t="s">
        <v>655</v>
      </c>
      <c r="H241" s="2" t="s">
        <v>88</v>
      </c>
      <c r="I241" s="2" t="s">
        <v>19</v>
      </c>
      <c r="J241" s="3">
        <v>55010</v>
      </c>
      <c r="K241" s="5" t="s">
        <v>46</v>
      </c>
    </row>
    <row r="242" spans="1:11" ht="15.5" hidden="1" thickTop="1" thickBot="1" x14ac:dyDescent="0.4">
      <c r="A242" s="4" t="s">
        <v>11</v>
      </c>
      <c r="B242" s="2" t="s">
        <v>12</v>
      </c>
      <c r="C242" s="2" t="s">
        <v>28</v>
      </c>
      <c r="D242" s="2" t="s">
        <v>656</v>
      </c>
      <c r="E242" s="2" t="s">
        <v>657</v>
      </c>
      <c r="F242" s="2" t="s">
        <v>279</v>
      </c>
      <c r="G242" s="2" t="s">
        <v>617</v>
      </c>
      <c r="H242" s="2" t="s">
        <v>33</v>
      </c>
      <c r="I242" s="2" t="s">
        <v>45</v>
      </c>
      <c r="J242" s="2">
        <v>420</v>
      </c>
      <c r="K242" s="5" t="s">
        <v>658</v>
      </c>
    </row>
    <row r="243" spans="1:11" ht="15.5" hidden="1" thickTop="1" thickBot="1" x14ac:dyDescent="0.4">
      <c r="A243" s="4" t="s">
        <v>11</v>
      </c>
      <c r="B243" s="2" t="s">
        <v>75</v>
      </c>
      <c r="C243" s="2" t="s">
        <v>28</v>
      </c>
      <c r="D243" s="2" t="s">
        <v>659</v>
      </c>
      <c r="E243" s="2" t="s">
        <v>565</v>
      </c>
      <c r="F243" s="2" t="s">
        <v>31</v>
      </c>
      <c r="G243" s="2" t="s">
        <v>660</v>
      </c>
      <c r="H243" s="2" t="s">
        <v>18</v>
      </c>
      <c r="I243" s="2" t="s">
        <v>19</v>
      </c>
      <c r="J243" s="3">
        <v>7100</v>
      </c>
      <c r="K243" s="5" t="s">
        <v>193</v>
      </c>
    </row>
    <row r="244" spans="1:11" ht="15.5" hidden="1" thickTop="1" thickBot="1" x14ac:dyDescent="0.4">
      <c r="A244" s="4" t="s">
        <v>11</v>
      </c>
      <c r="B244" s="2" t="s">
        <v>12</v>
      </c>
      <c r="C244" s="2" t="s">
        <v>28</v>
      </c>
      <c r="D244" s="2" t="s">
        <v>368</v>
      </c>
      <c r="E244" s="2" t="s">
        <v>661</v>
      </c>
      <c r="F244" s="2" t="s">
        <v>49</v>
      </c>
      <c r="G244" s="2" t="s">
        <v>370</v>
      </c>
      <c r="H244" s="2" t="s">
        <v>88</v>
      </c>
      <c r="I244" s="2" t="s">
        <v>19</v>
      </c>
      <c r="J244" s="3">
        <v>82030</v>
      </c>
      <c r="K244" s="5" t="s">
        <v>662</v>
      </c>
    </row>
    <row r="245" spans="1:11" ht="15.5" hidden="1" thickTop="1" thickBot="1" x14ac:dyDescent="0.4">
      <c r="A245" s="4" t="s">
        <v>11</v>
      </c>
      <c r="B245" s="2" t="s">
        <v>12</v>
      </c>
      <c r="C245" s="2" t="s">
        <v>28</v>
      </c>
      <c r="D245" s="2" t="s">
        <v>642</v>
      </c>
      <c r="E245" s="2" t="s">
        <v>643</v>
      </c>
      <c r="F245" s="2" t="s">
        <v>566</v>
      </c>
      <c r="G245" s="2" t="s">
        <v>70</v>
      </c>
      <c r="H245" s="2" t="s">
        <v>33</v>
      </c>
      <c r="I245" s="2" t="s">
        <v>45</v>
      </c>
      <c r="J245" s="2">
        <v>150</v>
      </c>
      <c r="K245" s="5" t="s">
        <v>46</v>
      </c>
    </row>
    <row r="246" spans="1:11" ht="15.5" thickTop="1" thickBot="1" x14ac:dyDescent="0.4">
      <c r="A246" s="4" t="s">
        <v>11</v>
      </c>
      <c r="B246" s="2" t="s">
        <v>21</v>
      </c>
      <c r="C246" s="2" t="s">
        <v>13</v>
      </c>
      <c r="D246" s="2" t="s">
        <v>663</v>
      </c>
      <c r="E246" s="2" t="s">
        <v>240</v>
      </c>
      <c r="F246" s="2" t="s">
        <v>31</v>
      </c>
      <c r="G246" s="2" t="s">
        <v>111</v>
      </c>
      <c r="H246" s="2" t="s">
        <v>44</v>
      </c>
      <c r="I246" s="2" t="s">
        <v>45</v>
      </c>
      <c r="J246" s="3">
        <v>7030</v>
      </c>
      <c r="K246" s="5" t="s">
        <v>664</v>
      </c>
    </row>
    <row r="247" spans="1:11" ht="15.5" hidden="1" thickTop="1" thickBot="1" x14ac:dyDescent="0.4">
      <c r="A247" s="4" t="s">
        <v>57</v>
      </c>
      <c r="B247" s="2" t="s">
        <v>12</v>
      </c>
      <c r="C247" s="2" t="s">
        <v>28</v>
      </c>
      <c r="D247" s="2" t="s">
        <v>665</v>
      </c>
      <c r="E247" s="2" t="s">
        <v>666</v>
      </c>
      <c r="F247" s="2" t="s">
        <v>95</v>
      </c>
      <c r="G247" s="2" t="s">
        <v>70</v>
      </c>
      <c r="H247" s="2" t="s">
        <v>33</v>
      </c>
      <c r="I247" s="2" t="s">
        <v>45</v>
      </c>
      <c r="J247" s="3">
        <v>3570</v>
      </c>
      <c r="K247" s="5" t="s">
        <v>667</v>
      </c>
    </row>
    <row r="248" spans="1:11" ht="15.5" hidden="1" thickTop="1" thickBot="1" x14ac:dyDescent="0.4">
      <c r="A248" s="4" t="s">
        <v>57</v>
      </c>
      <c r="B248" s="2" t="s">
        <v>75</v>
      </c>
      <c r="C248" s="2" t="s">
        <v>28</v>
      </c>
      <c r="D248" s="2" t="s">
        <v>668</v>
      </c>
      <c r="E248" s="2" t="s">
        <v>669</v>
      </c>
      <c r="F248" s="2" t="s">
        <v>201</v>
      </c>
      <c r="G248" s="2" t="s">
        <v>670</v>
      </c>
      <c r="H248" s="2" t="s">
        <v>33</v>
      </c>
      <c r="I248" s="2" t="s">
        <v>19</v>
      </c>
      <c r="J248" s="3">
        <v>309170</v>
      </c>
      <c r="K248" s="5" t="s">
        <v>578</v>
      </c>
    </row>
    <row r="249" spans="1:11" ht="15.5" hidden="1" thickTop="1" thickBot="1" x14ac:dyDescent="0.4">
      <c r="A249" s="4" t="s">
        <v>11</v>
      </c>
      <c r="B249" s="2" t="s">
        <v>12</v>
      </c>
      <c r="C249" s="2" t="s">
        <v>28</v>
      </c>
      <c r="D249" s="2" t="s">
        <v>671</v>
      </c>
      <c r="E249" s="2" t="s">
        <v>672</v>
      </c>
      <c r="F249" s="2" t="s">
        <v>95</v>
      </c>
      <c r="G249" s="2" t="s">
        <v>673</v>
      </c>
      <c r="H249" s="2" t="s">
        <v>116</v>
      </c>
      <c r="I249" s="2" t="s">
        <v>19</v>
      </c>
      <c r="J249" s="3">
        <v>12802</v>
      </c>
      <c r="K249" s="5" t="s">
        <v>674</v>
      </c>
    </row>
    <row r="250" spans="1:11" ht="15.5" hidden="1" thickTop="1" thickBot="1" x14ac:dyDescent="0.4">
      <c r="A250" s="4" t="s">
        <v>57</v>
      </c>
      <c r="B250" s="2" t="s">
        <v>75</v>
      </c>
      <c r="C250" s="2" t="s">
        <v>28</v>
      </c>
      <c r="D250" s="2" t="s">
        <v>675</v>
      </c>
      <c r="E250" s="2" t="s">
        <v>676</v>
      </c>
      <c r="F250" s="2" t="s">
        <v>612</v>
      </c>
      <c r="G250" s="2" t="s">
        <v>505</v>
      </c>
      <c r="H250" s="2" t="s">
        <v>56</v>
      </c>
      <c r="I250" s="2" t="s">
        <v>19</v>
      </c>
      <c r="J250" s="3">
        <v>16011</v>
      </c>
      <c r="K250" s="5" t="s">
        <v>677</v>
      </c>
    </row>
    <row r="251" spans="1:11" ht="15.5" hidden="1" thickTop="1" thickBot="1" x14ac:dyDescent="0.4">
      <c r="A251" s="4" t="s">
        <v>11</v>
      </c>
      <c r="B251" s="2" t="s">
        <v>12</v>
      </c>
      <c r="C251" s="2" t="s">
        <v>28</v>
      </c>
      <c r="D251" s="2" t="s">
        <v>678</v>
      </c>
      <c r="E251" s="2" t="s">
        <v>679</v>
      </c>
      <c r="F251" s="2" t="s">
        <v>66</v>
      </c>
      <c r="G251" s="2" t="s">
        <v>680</v>
      </c>
      <c r="H251" s="2" t="s">
        <v>33</v>
      </c>
      <c r="I251" s="2" t="s">
        <v>45</v>
      </c>
      <c r="J251" s="3">
        <v>5540</v>
      </c>
      <c r="K251" s="5" t="s">
        <v>681</v>
      </c>
    </row>
    <row r="252" spans="1:11" ht="15.5" hidden="1" thickTop="1" thickBot="1" x14ac:dyDescent="0.4">
      <c r="A252" s="4" t="s">
        <v>11</v>
      </c>
      <c r="B252" s="2" t="s">
        <v>12</v>
      </c>
      <c r="C252" s="2" t="s">
        <v>63</v>
      </c>
      <c r="D252" s="2" t="s">
        <v>682</v>
      </c>
      <c r="E252" s="2" t="s">
        <v>683</v>
      </c>
      <c r="F252" s="2" t="s">
        <v>86</v>
      </c>
      <c r="G252" s="2" t="s">
        <v>530</v>
      </c>
      <c r="H252" s="2" t="s">
        <v>88</v>
      </c>
      <c r="I252" s="2" t="s">
        <v>19</v>
      </c>
      <c r="J252" s="2">
        <v>660</v>
      </c>
      <c r="K252" s="5" t="s">
        <v>684</v>
      </c>
    </row>
    <row r="253" spans="1:11" ht="15.5" hidden="1" thickTop="1" thickBot="1" x14ac:dyDescent="0.4">
      <c r="A253" s="4" t="s">
        <v>11</v>
      </c>
      <c r="B253" s="2" t="s">
        <v>75</v>
      </c>
      <c r="C253" s="2" t="s">
        <v>28</v>
      </c>
      <c r="D253" s="2" t="s">
        <v>685</v>
      </c>
      <c r="E253" s="2" t="s">
        <v>686</v>
      </c>
      <c r="F253" s="2" t="s">
        <v>211</v>
      </c>
      <c r="G253" s="2" t="s">
        <v>288</v>
      </c>
      <c r="H253" s="2" t="s">
        <v>33</v>
      </c>
      <c r="I253" s="2" t="s">
        <v>45</v>
      </c>
      <c r="J253" s="2">
        <v>310</v>
      </c>
      <c r="K253" s="5" t="s">
        <v>46</v>
      </c>
    </row>
    <row r="254" spans="1:11" ht="15.5" hidden="1" thickTop="1" thickBot="1" x14ac:dyDescent="0.4">
      <c r="A254" s="4" t="s">
        <v>57</v>
      </c>
      <c r="B254" s="2" t="s">
        <v>12</v>
      </c>
      <c r="C254" s="2" t="s">
        <v>28</v>
      </c>
      <c r="D254" s="2" t="s">
        <v>687</v>
      </c>
      <c r="E254" s="2" t="s">
        <v>688</v>
      </c>
      <c r="F254" s="2" t="s">
        <v>582</v>
      </c>
      <c r="G254" s="2" t="s">
        <v>172</v>
      </c>
      <c r="H254" s="2" t="s">
        <v>33</v>
      </c>
      <c r="I254" s="2" t="s">
        <v>19</v>
      </c>
      <c r="J254" s="2" t="s">
        <v>45</v>
      </c>
      <c r="K254" s="5" t="s">
        <v>689</v>
      </c>
    </row>
    <row r="255" spans="1:11" ht="15.5" hidden="1" thickTop="1" thickBot="1" x14ac:dyDescent="0.4">
      <c r="A255" s="4" t="s">
        <v>11</v>
      </c>
      <c r="B255" s="2" t="s">
        <v>75</v>
      </c>
      <c r="C255" s="2" t="s">
        <v>13</v>
      </c>
      <c r="D255" s="2" t="s">
        <v>690</v>
      </c>
      <c r="E255" s="2" t="s">
        <v>691</v>
      </c>
      <c r="F255" s="2" t="s">
        <v>31</v>
      </c>
      <c r="G255" s="2" t="s">
        <v>692</v>
      </c>
      <c r="H255" s="2" t="s">
        <v>88</v>
      </c>
      <c r="I255" s="2" t="s">
        <v>19</v>
      </c>
      <c r="J255" s="3">
        <v>4104</v>
      </c>
      <c r="K255" s="5" t="s">
        <v>693</v>
      </c>
    </row>
    <row r="256" spans="1:11" ht="15.5" thickTop="1" thickBot="1" x14ac:dyDescent="0.4">
      <c r="A256" s="4" t="s">
        <v>11</v>
      </c>
      <c r="B256" s="2" t="s">
        <v>12</v>
      </c>
      <c r="C256" s="2" t="s">
        <v>28</v>
      </c>
      <c r="D256" s="2" t="s">
        <v>694</v>
      </c>
      <c r="E256" s="2" t="s">
        <v>695</v>
      </c>
      <c r="F256" s="2" t="s">
        <v>353</v>
      </c>
      <c r="G256" s="2" t="s">
        <v>67</v>
      </c>
      <c r="H256" s="2" t="s">
        <v>44</v>
      </c>
      <c r="I256" s="2" t="s">
        <v>45</v>
      </c>
      <c r="J256" s="3">
        <v>45070</v>
      </c>
      <c r="K256" s="5" t="s">
        <v>125</v>
      </c>
    </row>
    <row r="257" spans="1:11" ht="15.5" hidden="1" thickTop="1" thickBot="1" x14ac:dyDescent="0.4">
      <c r="A257" s="4" t="s">
        <v>11</v>
      </c>
      <c r="B257" s="2" t="s">
        <v>12</v>
      </c>
      <c r="C257" s="2" t="s">
        <v>13</v>
      </c>
      <c r="D257" s="2" t="s">
        <v>536</v>
      </c>
      <c r="E257" s="2" t="s">
        <v>517</v>
      </c>
      <c r="F257" s="2" t="s">
        <v>179</v>
      </c>
      <c r="G257" s="2" t="s">
        <v>50</v>
      </c>
      <c r="H257" s="2" t="s">
        <v>33</v>
      </c>
      <c r="I257" s="2" t="s">
        <v>45</v>
      </c>
      <c r="J257" s="2">
        <v>750</v>
      </c>
      <c r="K257" s="5" t="s">
        <v>89</v>
      </c>
    </row>
    <row r="258" spans="1:11" ht="15.5" hidden="1" thickTop="1" thickBot="1" x14ac:dyDescent="0.4">
      <c r="A258" s="4" t="s">
        <v>11</v>
      </c>
      <c r="B258" s="2" t="s">
        <v>52</v>
      </c>
      <c r="C258" s="2" t="s">
        <v>28</v>
      </c>
      <c r="D258" s="2" t="s">
        <v>696</v>
      </c>
      <c r="E258" s="2" t="s">
        <v>182</v>
      </c>
      <c r="F258" s="2" t="s">
        <v>141</v>
      </c>
      <c r="G258" s="2" t="s">
        <v>183</v>
      </c>
      <c r="H258" s="2" t="s">
        <v>33</v>
      </c>
      <c r="I258" s="2" t="s">
        <v>45</v>
      </c>
      <c r="J258" s="3">
        <v>1050</v>
      </c>
      <c r="K258" s="5" t="s">
        <v>697</v>
      </c>
    </row>
    <row r="259" spans="1:11" ht="15.5" hidden="1" thickTop="1" thickBot="1" x14ac:dyDescent="0.4">
      <c r="A259" s="4" t="s">
        <v>11</v>
      </c>
      <c r="B259" s="2" t="s">
        <v>12</v>
      </c>
      <c r="C259" s="2" t="s">
        <v>63</v>
      </c>
      <c r="D259" s="2" t="s">
        <v>698</v>
      </c>
      <c r="E259" s="2" t="s">
        <v>178</v>
      </c>
      <c r="F259" s="2" t="s">
        <v>95</v>
      </c>
      <c r="G259" s="2" t="s">
        <v>509</v>
      </c>
      <c r="H259" s="2" t="s">
        <v>33</v>
      </c>
      <c r="I259" s="2" t="s">
        <v>45</v>
      </c>
      <c r="J259" s="2">
        <v>550</v>
      </c>
      <c r="K259" s="5" t="s">
        <v>699</v>
      </c>
    </row>
    <row r="260" spans="1:11" ht="15.5" hidden="1" thickTop="1" thickBot="1" x14ac:dyDescent="0.4">
      <c r="A260" s="4" t="s">
        <v>11</v>
      </c>
      <c r="B260" s="2" t="s">
        <v>12</v>
      </c>
      <c r="C260" s="2" t="s">
        <v>28</v>
      </c>
      <c r="D260" s="2" t="s">
        <v>700</v>
      </c>
      <c r="E260" s="2" t="s">
        <v>97</v>
      </c>
      <c r="F260" s="2" t="s">
        <v>31</v>
      </c>
      <c r="G260" s="2" t="s">
        <v>38</v>
      </c>
      <c r="H260" s="2" t="s">
        <v>33</v>
      </c>
      <c r="I260" s="2" t="s">
        <v>45</v>
      </c>
      <c r="J260" s="3">
        <v>1800</v>
      </c>
      <c r="K260" s="5" t="s">
        <v>701</v>
      </c>
    </row>
    <row r="261" spans="1:11" ht="15.5" thickTop="1" thickBot="1" x14ac:dyDescent="0.4">
      <c r="A261" s="4" t="s">
        <v>11</v>
      </c>
      <c r="B261" s="2" t="s">
        <v>12</v>
      </c>
      <c r="C261" s="2" t="s">
        <v>13</v>
      </c>
      <c r="D261" s="2" t="s">
        <v>702</v>
      </c>
      <c r="E261" s="2" t="s">
        <v>213</v>
      </c>
      <c r="F261" s="2" t="s">
        <v>141</v>
      </c>
      <c r="G261" s="2" t="s">
        <v>405</v>
      </c>
      <c r="H261" s="2" t="s">
        <v>44</v>
      </c>
      <c r="I261" s="2" t="s">
        <v>19</v>
      </c>
      <c r="J261" s="3">
        <v>29480</v>
      </c>
      <c r="K261" s="5" t="s">
        <v>143</v>
      </c>
    </row>
    <row r="262" spans="1:11" ht="15.5" hidden="1" thickTop="1" thickBot="1" x14ac:dyDescent="0.4">
      <c r="A262" s="4" t="s">
        <v>11</v>
      </c>
      <c r="B262" s="2" t="s">
        <v>12</v>
      </c>
      <c r="C262" s="2" t="s">
        <v>28</v>
      </c>
      <c r="D262" s="2" t="s">
        <v>703</v>
      </c>
      <c r="E262" s="2" t="s">
        <v>704</v>
      </c>
      <c r="F262" s="2" t="s">
        <v>146</v>
      </c>
      <c r="G262" s="2" t="s">
        <v>67</v>
      </c>
      <c r="H262" s="2" t="s">
        <v>88</v>
      </c>
      <c r="I262" s="2" t="s">
        <v>19</v>
      </c>
      <c r="J262" s="3">
        <v>4310</v>
      </c>
      <c r="K262" s="5" t="s">
        <v>148</v>
      </c>
    </row>
    <row r="263" spans="1:11" ht="15.5" hidden="1" thickTop="1" thickBot="1" x14ac:dyDescent="0.4">
      <c r="A263" s="4" t="s">
        <v>11</v>
      </c>
      <c r="B263" s="2" t="s">
        <v>52</v>
      </c>
      <c r="C263" s="2" t="s">
        <v>13</v>
      </c>
      <c r="D263" s="2" t="s">
        <v>705</v>
      </c>
      <c r="E263" s="2" t="s">
        <v>706</v>
      </c>
      <c r="F263" s="2" t="s">
        <v>42</v>
      </c>
      <c r="G263" s="2" t="s">
        <v>707</v>
      </c>
      <c r="H263" s="2" t="s">
        <v>33</v>
      </c>
      <c r="I263" s="2" t="s">
        <v>19</v>
      </c>
      <c r="J263" s="3">
        <v>83550</v>
      </c>
      <c r="K263" s="5" t="s">
        <v>89</v>
      </c>
    </row>
    <row r="264" spans="1:11" ht="15.5" thickTop="1" thickBot="1" x14ac:dyDescent="0.4">
      <c r="A264" s="4" t="s">
        <v>11</v>
      </c>
      <c r="B264" s="2" t="s">
        <v>75</v>
      </c>
      <c r="C264" s="2" t="s">
        <v>28</v>
      </c>
      <c r="D264" s="2" t="s">
        <v>437</v>
      </c>
      <c r="E264" s="2" t="s">
        <v>438</v>
      </c>
      <c r="F264" s="2" t="s">
        <v>245</v>
      </c>
      <c r="G264" s="2" t="s">
        <v>439</v>
      </c>
      <c r="H264" s="2" t="s">
        <v>44</v>
      </c>
      <c r="I264" s="2" t="s">
        <v>19</v>
      </c>
      <c r="J264" s="3">
        <v>30830</v>
      </c>
      <c r="K264" s="5" t="s">
        <v>708</v>
      </c>
    </row>
    <row r="265" spans="1:11" ht="15.5" thickTop="1" thickBot="1" x14ac:dyDescent="0.4">
      <c r="A265" s="4" t="s">
        <v>11</v>
      </c>
      <c r="B265" s="2" t="s">
        <v>21</v>
      </c>
      <c r="C265" s="2" t="s">
        <v>13</v>
      </c>
      <c r="D265" s="2" t="s">
        <v>709</v>
      </c>
      <c r="E265" s="2" t="s">
        <v>710</v>
      </c>
      <c r="F265" s="2" t="s">
        <v>225</v>
      </c>
      <c r="G265" s="2" t="s">
        <v>50</v>
      </c>
      <c r="H265" s="2" t="s">
        <v>44</v>
      </c>
      <c r="I265" s="2" t="s">
        <v>19</v>
      </c>
      <c r="J265" s="3">
        <v>51750</v>
      </c>
      <c r="K265" s="5" t="s">
        <v>711</v>
      </c>
    </row>
    <row r="266" spans="1:11" ht="15.5" hidden="1" thickTop="1" thickBot="1" x14ac:dyDescent="0.4">
      <c r="A266" s="4" t="s">
        <v>11</v>
      </c>
      <c r="B266" s="2" t="s">
        <v>12</v>
      </c>
      <c r="C266" s="2" t="s">
        <v>13</v>
      </c>
      <c r="D266" s="2" t="s">
        <v>712</v>
      </c>
      <c r="E266" s="2" t="s">
        <v>713</v>
      </c>
      <c r="F266" s="2" t="s">
        <v>211</v>
      </c>
      <c r="G266" s="2" t="s">
        <v>401</v>
      </c>
      <c r="H266" s="2" t="s">
        <v>33</v>
      </c>
      <c r="I266" s="2" t="s">
        <v>45</v>
      </c>
      <c r="J266" s="2">
        <v>75</v>
      </c>
      <c r="K266" s="5" t="s">
        <v>714</v>
      </c>
    </row>
    <row r="267" spans="1:11" ht="15.5" hidden="1" thickTop="1" thickBot="1" x14ac:dyDescent="0.4">
      <c r="A267" s="4" t="s">
        <v>11</v>
      </c>
      <c r="B267" s="2" t="s">
        <v>75</v>
      </c>
      <c r="C267" s="2" t="s">
        <v>28</v>
      </c>
      <c r="D267" s="2" t="s">
        <v>715</v>
      </c>
      <c r="E267" s="2" t="s">
        <v>716</v>
      </c>
      <c r="F267" s="2" t="s">
        <v>95</v>
      </c>
      <c r="G267" s="2" t="s">
        <v>717</v>
      </c>
      <c r="H267" s="2" t="s">
        <v>33</v>
      </c>
      <c r="I267" s="2" t="s">
        <v>45</v>
      </c>
      <c r="J267" s="3">
        <v>7070</v>
      </c>
      <c r="K267" s="5" t="s">
        <v>46</v>
      </c>
    </row>
    <row r="268" spans="1:11" ht="15.5" hidden="1" thickTop="1" thickBot="1" x14ac:dyDescent="0.4">
      <c r="A268" s="4" t="s">
        <v>11</v>
      </c>
      <c r="B268" s="2" t="s">
        <v>12</v>
      </c>
      <c r="C268" s="2" t="s">
        <v>28</v>
      </c>
      <c r="D268" s="2" t="s">
        <v>718</v>
      </c>
      <c r="E268" s="2" t="s">
        <v>719</v>
      </c>
      <c r="F268" s="2" t="s">
        <v>245</v>
      </c>
      <c r="G268" s="2" t="s">
        <v>720</v>
      </c>
      <c r="H268" s="2" t="s">
        <v>33</v>
      </c>
      <c r="I268" s="2" t="s">
        <v>45</v>
      </c>
      <c r="J268" s="2">
        <v>90</v>
      </c>
      <c r="K268" s="5" t="s">
        <v>27</v>
      </c>
    </row>
    <row r="269" spans="1:11" ht="15.5" hidden="1" thickTop="1" thickBot="1" x14ac:dyDescent="0.4">
      <c r="A269" s="4" t="s">
        <v>11</v>
      </c>
      <c r="B269" s="2" t="s">
        <v>75</v>
      </c>
      <c r="C269" s="2" t="s">
        <v>63</v>
      </c>
      <c r="D269" s="2" t="s">
        <v>721</v>
      </c>
      <c r="E269" s="2" t="s">
        <v>65</v>
      </c>
      <c r="F269" s="2" t="s">
        <v>245</v>
      </c>
      <c r="G269" s="2" t="s">
        <v>183</v>
      </c>
      <c r="H269" s="2" t="s">
        <v>33</v>
      </c>
      <c r="I269" s="2" t="s">
        <v>45</v>
      </c>
      <c r="J269" s="2">
        <v>126</v>
      </c>
      <c r="K269" s="5" t="s">
        <v>46</v>
      </c>
    </row>
    <row r="270" spans="1:11" ht="15.5" hidden="1" thickTop="1" thickBot="1" x14ac:dyDescent="0.4">
      <c r="A270" s="4" t="s">
        <v>11</v>
      </c>
      <c r="B270" s="2" t="s">
        <v>21</v>
      </c>
      <c r="C270" s="2" t="s">
        <v>63</v>
      </c>
      <c r="D270" s="2" t="s">
        <v>722</v>
      </c>
      <c r="E270" s="2" t="s">
        <v>65</v>
      </c>
      <c r="F270" s="2" t="s">
        <v>141</v>
      </c>
      <c r="G270" s="2" t="s">
        <v>723</v>
      </c>
      <c r="H270" s="2" t="s">
        <v>33</v>
      </c>
      <c r="I270" s="2" t="s">
        <v>45</v>
      </c>
      <c r="J270" s="2">
        <v>750</v>
      </c>
      <c r="K270" s="5" t="s">
        <v>46</v>
      </c>
    </row>
    <row r="271" spans="1:11" ht="15.5" hidden="1" thickTop="1" thickBot="1" x14ac:dyDescent="0.4">
      <c r="A271" s="4" t="s">
        <v>11</v>
      </c>
      <c r="B271" s="2" t="s">
        <v>12</v>
      </c>
      <c r="C271" s="2" t="s">
        <v>28</v>
      </c>
      <c r="D271" s="2" t="s">
        <v>724</v>
      </c>
      <c r="E271" s="2" t="s">
        <v>725</v>
      </c>
      <c r="F271" s="2" t="s">
        <v>104</v>
      </c>
      <c r="G271" s="2" t="s">
        <v>70</v>
      </c>
      <c r="H271" s="2" t="s">
        <v>33</v>
      </c>
      <c r="I271" s="2" t="s">
        <v>45</v>
      </c>
      <c r="J271" s="2">
        <v>524</v>
      </c>
      <c r="K271" s="5" t="s">
        <v>726</v>
      </c>
    </row>
    <row r="272" spans="1:11" ht="15.5" hidden="1" thickTop="1" thickBot="1" x14ac:dyDescent="0.4">
      <c r="A272" s="4" t="s">
        <v>11</v>
      </c>
      <c r="B272" s="2" t="s">
        <v>12</v>
      </c>
      <c r="C272" s="2" t="s">
        <v>63</v>
      </c>
      <c r="D272" s="2" t="s">
        <v>727</v>
      </c>
      <c r="E272" s="2" t="s">
        <v>512</v>
      </c>
      <c r="F272" s="2" t="s">
        <v>49</v>
      </c>
      <c r="G272" s="2" t="s">
        <v>168</v>
      </c>
      <c r="H272" s="2" t="s">
        <v>88</v>
      </c>
      <c r="I272" s="2" t="s">
        <v>19</v>
      </c>
      <c r="J272" s="3">
        <v>6470</v>
      </c>
      <c r="K272" s="5" t="s">
        <v>728</v>
      </c>
    </row>
    <row r="273" spans="1:11" ht="15.5" hidden="1" thickTop="1" thickBot="1" x14ac:dyDescent="0.4">
      <c r="A273" s="4" t="s">
        <v>11</v>
      </c>
      <c r="B273" s="2" t="s">
        <v>12</v>
      </c>
      <c r="C273" s="2" t="s">
        <v>28</v>
      </c>
      <c r="D273" s="2" t="s">
        <v>729</v>
      </c>
      <c r="E273" s="2" t="s">
        <v>278</v>
      </c>
      <c r="F273" s="2" t="s">
        <v>225</v>
      </c>
      <c r="G273" s="2" t="s">
        <v>533</v>
      </c>
      <c r="H273" s="2" t="s">
        <v>33</v>
      </c>
      <c r="I273" s="2" t="s">
        <v>45</v>
      </c>
      <c r="J273" s="3">
        <v>8520</v>
      </c>
      <c r="K273" s="5" t="s">
        <v>730</v>
      </c>
    </row>
    <row r="274" spans="1:11" ht="15.5" hidden="1" thickTop="1" thickBot="1" x14ac:dyDescent="0.4">
      <c r="A274" s="4" t="s">
        <v>11</v>
      </c>
      <c r="B274" s="2" t="s">
        <v>12</v>
      </c>
      <c r="C274" s="2" t="s">
        <v>28</v>
      </c>
      <c r="D274" s="2" t="s">
        <v>731</v>
      </c>
      <c r="E274" s="2" t="s">
        <v>732</v>
      </c>
      <c r="F274" s="2" t="s">
        <v>141</v>
      </c>
      <c r="G274" s="2" t="s">
        <v>733</v>
      </c>
      <c r="H274" s="2" t="s">
        <v>88</v>
      </c>
      <c r="I274" s="2" t="s">
        <v>19</v>
      </c>
      <c r="J274" s="3">
        <v>55215</v>
      </c>
      <c r="K274" s="5" t="s">
        <v>734</v>
      </c>
    </row>
    <row r="275" spans="1:11" ht="15.5" hidden="1" thickTop="1" thickBot="1" x14ac:dyDescent="0.4">
      <c r="A275" s="4" t="s">
        <v>57</v>
      </c>
      <c r="B275" s="2" t="s">
        <v>75</v>
      </c>
      <c r="C275" s="2" t="s">
        <v>13</v>
      </c>
      <c r="D275" s="2" t="s">
        <v>735</v>
      </c>
      <c r="E275" s="2" t="s">
        <v>189</v>
      </c>
      <c r="F275" s="2" t="s">
        <v>566</v>
      </c>
      <c r="G275" s="2" t="s">
        <v>50</v>
      </c>
      <c r="H275" s="2" t="s">
        <v>33</v>
      </c>
      <c r="I275" s="2" t="s">
        <v>45</v>
      </c>
      <c r="J275" s="2">
        <v>180</v>
      </c>
      <c r="K275" s="5" t="s">
        <v>46</v>
      </c>
    </row>
    <row r="276" spans="1:11" ht="15.5" hidden="1" thickTop="1" thickBot="1" x14ac:dyDescent="0.4">
      <c r="A276" s="4" t="s">
        <v>11</v>
      </c>
      <c r="B276" s="2" t="s">
        <v>12</v>
      </c>
      <c r="C276" s="2" t="s">
        <v>63</v>
      </c>
      <c r="D276" s="2" t="s">
        <v>736</v>
      </c>
      <c r="E276" s="2" t="s">
        <v>65</v>
      </c>
      <c r="F276" s="2" t="s">
        <v>37</v>
      </c>
      <c r="G276" s="2" t="s">
        <v>183</v>
      </c>
      <c r="H276" s="2" t="s">
        <v>33</v>
      </c>
      <c r="I276" s="2" t="s">
        <v>45</v>
      </c>
      <c r="J276" s="2">
        <v>45</v>
      </c>
      <c r="K276" s="5" t="s">
        <v>46</v>
      </c>
    </row>
    <row r="277" spans="1:11" ht="15.5" thickTop="1" thickBot="1" x14ac:dyDescent="0.4">
      <c r="A277" s="4" t="s">
        <v>11</v>
      </c>
      <c r="B277" s="2" t="s">
        <v>21</v>
      </c>
      <c r="C277" s="2" t="s">
        <v>13</v>
      </c>
      <c r="D277" s="2" t="s">
        <v>737</v>
      </c>
      <c r="E277" s="2" t="s">
        <v>738</v>
      </c>
      <c r="F277" s="2" t="s">
        <v>174</v>
      </c>
      <c r="G277" s="2" t="s">
        <v>739</v>
      </c>
      <c r="H277" s="2" t="s">
        <v>44</v>
      </c>
      <c r="I277" s="2" t="s">
        <v>45</v>
      </c>
      <c r="J277" s="3">
        <v>55070</v>
      </c>
      <c r="K277" s="5" t="s">
        <v>740</v>
      </c>
    </row>
    <row r="278" spans="1:11" ht="15.5" hidden="1" thickTop="1" thickBot="1" x14ac:dyDescent="0.4">
      <c r="A278" s="4" t="s">
        <v>11</v>
      </c>
      <c r="B278" s="2" t="s">
        <v>12</v>
      </c>
      <c r="C278" s="2" t="s">
        <v>28</v>
      </c>
      <c r="D278" s="2" t="s">
        <v>741</v>
      </c>
      <c r="E278" s="2" t="s">
        <v>742</v>
      </c>
      <c r="F278" s="2" t="s">
        <v>24</v>
      </c>
      <c r="G278" s="2" t="s">
        <v>743</v>
      </c>
      <c r="H278" s="2" t="s">
        <v>88</v>
      </c>
      <c r="I278" s="2" t="s">
        <v>19</v>
      </c>
      <c r="J278" s="3">
        <v>35050</v>
      </c>
      <c r="K278" s="5" t="s">
        <v>744</v>
      </c>
    </row>
    <row r="279" spans="1:11" ht="15.5" hidden="1" thickTop="1" thickBot="1" x14ac:dyDescent="0.4">
      <c r="A279" s="4" t="s">
        <v>57</v>
      </c>
      <c r="B279" s="2" t="s">
        <v>12</v>
      </c>
      <c r="C279" s="2" t="s">
        <v>13</v>
      </c>
      <c r="D279" s="2" t="s">
        <v>745</v>
      </c>
      <c r="E279" s="2" t="s">
        <v>746</v>
      </c>
      <c r="F279" s="2" t="s">
        <v>141</v>
      </c>
      <c r="G279" s="2" t="s">
        <v>32</v>
      </c>
      <c r="H279" s="2" t="s">
        <v>18</v>
      </c>
      <c r="I279" s="2" t="s">
        <v>19</v>
      </c>
      <c r="J279" s="3">
        <v>2010</v>
      </c>
      <c r="K279" s="5" t="s">
        <v>747</v>
      </c>
    </row>
    <row r="280" spans="1:11" ht="15.5" hidden="1" thickTop="1" thickBot="1" x14ac:dyDescent="0.4">
      <c r="A280" s="4" t="s">
        <v>11</v>
      </c>
      <c r="B280" s="2" t="s">
        <v>12</v>
      </c>
      <c r="C280" s="2" t="s">
        <v>13</v>
      </c>
      <c r="D280" s="2" t="s">
        <v>748</v>
      </c>
      <c r="E280" s="2" t="s">
        <v>749</v>
      </c>
      <c r="F280" s="2" t="s">
        <v>49</v>
      </c>
      <c r="G280" s="2" t="s">
        <v>750</v>
      </c>
      <c r="H280" s="2" t="s">
        <v>33</v>
      </c>
      <c r="I280" s="2" t="s">
        <v>45</v>
      </c>
      <c r="J280" s="2">
        <v>600</v>
      </c>
      <c r="K280" s="5" t="s">
        <v>751</v>
      </c>
    </row>
    <row r="281" spans="1:11" ht="15.5" hidden="1" thickTop="1" thickBot="1" x14ac:dyDescent="0.4">
      <c r="A281" s="4" t="s">
        <v>11</v>
      </c>
      <c r="B281" s="2" t="s">
        <v>12</v>
      </c>
      <c r="C281" s="2" t="s">
        <v>28</v>
      </c>
      <c r="D281" s="2" t="s">
        <v>752</v>
      </c>
      <c r="E281" s="2" t="s">
        <v>97</v>
      </c>
      <c r="F281" s="2" t="s">
        <v>179</v>
      </c>
      <c r="G281" s="2" t="s">
        <v>78</v>
      </c>
      <c r="H281" s="2" t="s">
        <v>33</v>
      </c>
      <c r="I281" s="2" t="s">
        <v>45</v>
      </c>
      <c r="J281" s="3">
        <v>1310</v>
      </c>
      <c r="K281" s="5" t="s">
        <v>753</v>
      </c>
    </row>
    <row r="282" spans="1:11" ht="15.5" hidden="1" thickTop="1" thickBot="1" x14ac:dyDescent="0.4">
      <c r="A282" s="4" t="s">
        <v>11</v>
      </c>
      <c r="B282" s="2" t="s">
        <v>75</v>
      </c>
      <c r="C282" s="2" t="s">
        <v>63</v>
      </c>
      <c r="D282" s="2" t="s">
        <v>64</v>
      </c>
      <c r="E282" s="2" t="s">
        <v>65</v>
      </c>
      <c r="F282" s="2" t="s">
        <v>31</v>
      </c>
      <c r="G282" s="2" t="s">
        <v>67</v>
      </c>
      <c r="H282" s="2" t="s">
        <v>33</v>
      </c>
      <c r="I282" s="2" t="s">
        <v>45</v>
      </c>
      <c r="J282" s="2">
        <v>126</v>
      </c>
      <c r="K282" s="5" t="s">
        <v>46</v>
      </c>
    </row>
    <row r="283" spans="1:11" ht="15.5" thickTop="1" thickBot="1" x14ac:dyDescent="0.4">
      <c r="A283" s="4" t="s">
        <v>11</v>
      </c>
      <c r="B283" s="2" t="s">
        <v>21</v>
      </c>
      <c r="C283" s="2" t="s">
        <v>28</v>
      </c>
      <c r="D283" s="2" t="s">
        <v>754</v>
      </c>
      <c r="E283" s="2" t="s">
        <v>755</v>
      </c>
      <c r="F283" s="2" t="s">
        <v>141</v>
      </c>
      <c r="G283" s="2" t="s">
        <v>67</v>
      </c>
      <c r="H283" s="2" t="s">
        <v>44</v>
      </c>
      <c r="I283" s="2" t="s">
        <v>19</v>
      </c>
      <c r="J283" s="3">
        <v>3040</v>
      </c>
      <c r="K283" s="5" t="s">
        <v>89</v>
      </c>
    </row>
    <row r="284" spans="1:11" ht="15.5" thickTop="1" thickBot="1" x14ac:dyDescent="0.4">
      <c r="A284" s="4" t="s">
        <v>11</v>
      </c>
      <c r="B284" s="2" t="s">
        <v>12</v>
      </c>
      <c r="C284" s="2" t="s">
        <v>13</v>
      </c>
      <c r="D284" s="2" t="s">
        <v>756</v>
      </c>
      <c r="E284" s="2" t="s">
        <v>606</v>
      </c>
      <c r="F284" s="2" t="s">
        <v>757</v>
      </c>
      <c r="G284" s="2" t="s">
        <v>67</v>
      </c>
      <c r="H284" s="2" t="s">
        <v>44</v>
      </c>
      <c r="I284" s="2" t="s">
        <v>45</v>
      </c>
      <c r="J284" s="3">
        <v>60640</v>
      </c>
      <c r="K284" s="5" t="s">
        <v>758</v>
      </c>
    </row>
    <row r="285" spans="1:11" ht="15.5" hidden="1" thickTop="1" thickBot="1" x14ac:dyDescent="0.4">
      <c r="A285" s="4" t="s">
        <v>11</v>
      </c>
      <c r="B285" s="2" t="s">
        <v>21</v>
      </c>
      <c r="C285" s="2" t="s">
        <v>63</v>
      </c>
      <c r="D285" s="2" t="s">
        <v>283</v>
      </c>
      <c r="E285" s="2" t="s">
        <v>759</v>
      </c>
      <c r="F285" s="2" t="s">
        <v>760</v>
      </c>
      <c r="G285" s="2" t="s">
        <v>168</v>
      </c>
      <c r="H285" s="2" t="s">
        <v>33</v>
      </c>
      <c r="I285" s="2" t="s">
        <v>19</v>
      </c>
      <c r="J285" s="3">
        <v>2570</v>
      </c>
      <c r="K285" s="5" t="s">
        <v>285</v>
      </c>
    </row>
    <row r="286" spans="1:11" ht="15.5" hidden="1" thickTop="1" thickBot="1" x14ac:dyDescent="0.4">
      <c r="A286" s="4" t="s">
        <v>11</v>
      </c>
      <c r="B286" s="2" t="s">
        <v>12</v>
      </c>
      <c r="C286" s="2" t="s">
        <v>63</v>
      </c>
      <c r="D286" s="2" t="s">
        <v>761</v>
      </c>
      <c r="E286" s="2" t="s">
        <v>65</v>
      </c>
      <c r="F286" s="2" t="s">
        <v>31</v>
      </c>
      <c r="G286" s="2" t="s">
        <v>354</v>
      </c>
      <c r="H286" s="2" t="s">
        <v>33</v>
      </c>
      <c r="I286" s="2" t="s">
        <v>45</v>
      </c>
      <c r="J286" s="2">
        <v>300</v>
      </c>
      <c r="K286" s="5" t="s">
        <v>46</v>
      </c>
    </row>
    <row r="287" spans="1:11" ht="15.5" thickTop="1" thickBot="1" x14ac:dyDescent="0.4">
      <c r="A287" s="4" t="s">
        <v>11</v>
      </c>
      <c r="B287" s="2" t="s">
        <v>12</v>
      </c>
      <c r="C287" s="2" t="s">
        <v>28</v>
      </c>
      <c r="D287" s="2" t="s">
        <v>762</v>
      </c>
      <c r="E287" s="2" t="s">
        <v>763</v>
      </c>
      <c r="F287" s="2" t="s">
        <v>31</v>
      </c>
      <c r="G287" s="2" t="s">
        <v>764</v>
      </c>
      <c r="H287" s="2" t="s">
        <v>44</v>
      </c>
      <c r="I287" s="2" t="s">
        <v>19</v>
      </c>
      <c r="J287" s="3">
        <v>18030</v>
      </c>
      <c r="K287" s="5" t="s">
        <v>39</v>
      </c>
    </row>
    <row r="288" spans="1:11" ht="15.5" hidden="1" thickTop="1" thickBot="1" x14ac:dyDescent="0.4">
      <c r="A288" s="4" t="s">
        <v>11</v>
      </c>
      <c r="B288" s="2" t="s">
        <v>12</v>
      </c>
      <c r="C288" s="2" t="s">
        <v>63</v>
      </c>
      <c r="D288" s="2" t="s">
        <v>765</v>
      </c>
      <c r="E288" s="2" t="s">
        <v>65</v>
      </c>
      <c r="F288" s="2" t="s">
        <v>42</v>
      </c>
      <c r="G288" s="2" t="s">
        <v>70</v>
      </c>
      <c r="H288" s="2" t="s">
        <v>33</v>
      </c>
      <c r="I288" s="2" t="s">
        <v>45</v>
      </c>
      <c r="J288" s="2">
        <v>45</v>
      </c>
      <c r="K288" s="5" t="s">
        <v>46</v>
      </c>
    </row>
    <row r="289" spans="1:11" ht="15.5" hidden="1" thickTop="1" thickBot="1" x14ac:dyDescent="0.4">
      <c r="A289" s="4" t="s">
        <v>11</v>
      </c>
      <c r="B289" s="2" t="s">
        <v>75</v>
      </c>
      <c r="C289" s="2" t="s">
        <v>28</v>
      </c>
      <c r="D289" s="2" t="s">
        <v>766</v>
      </c>
      <c r="E289" s="2" t="s">
        <v>421</v>
      </c>
      <c r="F289" s="2" t="s">
        <v>279</v>
      </c>
      <c r="G289" s="2" t="s">
        <v>767</v>
      </c>
      <c r="H289" s="2" t="s">
        <v>33</v>
      </c>
      <c r="I289" s="2" t="s">
        <v>45</v>
      </c>
      <c r="J289" s="3">
        <v>43933</v>
      </c>
      <c r="K289" s="5" t="s">
        <v>46</v>
      </c>
    </row>
    <row r="290" spans="1:11" ht="15.5" hidden="1" thickTop="1" thickBot="1" x14ac:dyDescent="0.4">
      <c r="A290" s="4" t="s">
        <v>11</v>
      </c>
      <c r="B290" s="2" t="s">
        <v>12</v>
      </c>
      <c r="C290" s="2" t="s">
        <v>28</v>
      </c>
      <c r="D290" s="2" t="s">
        <v>768</v>
      </c>
      <c r="E290" s="2" t="s">
        <v>529</v>
      </c>
      <c r="F290" s="2" t="s">
        <v>225</v>
      </c>
      <c r="G290" s="2" t="s">
        <v>530</v>
      </c>
      <c r="H290" s="2" t="s">
        <v>33</v>
      </c>
      <c r="I290" s="2" t="s">
        <v>45</v>
      </c>
      <c r="J290" s="2">
        <v>126</v>
      </c>
      <c r="K290" s="5" t="s">
        <v>769</v>
      </c>
    </row>
    <row r="291" spans="1:11" ht="15.5" hidden="1" thickTop="1" thickBot="1" x14ac:dyDescent="0.4">
      <c r="A291" s="4" t="s">
        <v>11</v>
      </c>
      <c r="B291" s="2" t="s">
        <v>75</v>
      </c>
      <c r="C291" s="2" t="s">
        <v>28</v>
      </c>
      <c r="D291" s="2" t="s">
        <v>770</v>
      </c>
      <c r="E291" s="2" t="s">
        <v>771</v>
      </c>
      <c r="F291" s="2" t="s">
        <v>772</v>
      </c>
      <c r="G291" s="2" t="s">
        <v>773</v>
      </c>
      <c r="H291" s="2" t="s">
        <v>56</v>
      </c>
      <c r="I291" s="2" t="s">
        <v>19</v>
      </c>
      <c r="J291" s="3">
        <v>39879</v>
      </c>
      <c r="K291" s="5" t="s">
        <v>89</v>
      </c>
    </row>
    <row r="292" spans="1:11" ht="15.5" thickTop="1" thickBot="1" x14ac:dyDescent="0.4">
      <c r="A292" s="4" t="s">
        <v>11</v>
      </c>
      <c r="B292" s="2" t="s">
        <v>21</v>
      </c>
      <c r="C292" s="2" t="s">
        <v>28</v>
      </c>
      <c r="D292" s="2" t="s">
        <v>616</v>
      </c>
      <c r="E292" s="2" t="s">
        <v>774</v>
      </c>
      <c r="F292" s="2" t="s">
        <v>31</v>
      </c>
      <c r="G292" s="2" t="s">
        <v>617</v>
      </c>
      <c r="H292" s="2" t="s">
        <v>44</v>
      </c>
      <c r="I292" s="2" t="s">
        <v>45</v>
      </c>
      <c r="J292" s="3">
        <v>1320</v>
      </c>
      <c r="K292" s="5" t="s">
        <v>775</v>
      </c>
    </row>
    <row r="293" spans="1:11" ht="15.5" hidden="1" thickTop="1" thickBot="1" x14ac:dyDescent="0.4">
      <c r="A293" s="4" t="s">
        <v>11</v>
      </c>
      <c r="B293" s="2" t="s">
        <v>12</v>
      </c>
      <c r="C293" s="2" t="s">
        <v>13</v>
      </c>
      <c r="D293" s="2" t="s">
        <v>712</v>
      </c>
      <c r="E293" s="2" t="s">
        <v>776</v>
      </c>
      <c r="F293" s="2" t="s">
        <v>179</v>
      </c>
      <c r="G293" s="2" t="s">
        <v>401</v>
      </c>
      <c r="H293" s="2" t="s">
        <v>33</v>
      </c>
      <c r="I293" s="2" t="s">
        <v>45</v>
      </c>
      <c r="J293" s="2">
        <v>75</v>
      </c>
      <c r="K293" s="5" t="s">
        <v>714</v>
      </c>
    </row>
    <row r="294" spans="1:11" ht="15.5" hidden="1" thickTop="1" thickBot="1" x14ac:dyDescent="0.4">
      <c r="A294" s="4" t="s">
        <v>11</v>
      </c>
      <c r="B294" s="2" t="s">
        <v>12</v>
      </c>
      <c r="C294" s="2" t="s">
        <v>63</v>
      </c>
      <c r="D294" s="2" t="s">
        <v>777</v>
      </c>
      <c r="E294" s="2" t="s">
        <v>178</v>
      </c>
      <c r="F294" s="2" t="s">
        <v>95</v>
      </c>
      <c r="G294" s="2" t="s">
        <v>778</v>
      </c>
      <c r="H294" s="2" t="s">
        <v>88</v>
      </c>
      <c r="I294" s="2" t="s">
        <v>45</v>
      </c>
      <c r="J294" s="2">
        <v>490</v>
      </c>
      <c r="K294" s="5" t="s">
        <v>779</v>
      </c>
    </row>
    <row r="295" spans="1:11" ht="15.5" hidden="1" thickTop="1" thickBot="1" x14ac:dyDescent="0.4">
      <c r="A295" s="4" t="s">
        <v>57</v>
      </c>
      <c r="B295" s="2" t="s">
        <v>12</v>
      </c>
      <c r="C295" s="2" t="s">
        <v>63</v>
      </c>
      <c r="D295" s="2" t="s">
        <v>780</v>
      </c>
      <c r="E295" s="2" t="s">
        <v>65</v>
      </c>
      <c r="F295" s="2" t="s">
        <v>31</v>
      </c>
      <c r="G295" s="2" t="s">
        <v>168</v>
      </c>
      <c r="H295" s="2" t="s">
        <v>33</v>
      </c>
      <c r="I295" s="2" t="s">
        <v>19</v>
      </c>
      <c r="J295" s="2">
        <v>990</v>
      </c>
      <c r="K295" s="5" t="s">
        <v>46</v>
      </c>
    </row>
    <row r="296" spans="1:11" ht="15.5" hidden="1" thickTop="1" thickBot="1" x14ac:dyDescent="0.4">
      <c r="A296" s="4" t="s">
        <v>11</v>
      </c>
      <c r="B296" s="2" t="s">
        <v>12</v>
      </c>
      <c r="C296" s="2" t="s">
        <v>13</v>
      </c>
      <c r="D296" s="2" t="s">
        <v>781</v>
      </c>
      <c r="E296" s="2" t="s">
        <v>782</v>
      </c>
      <c r="F296" s="2" t="s">
        <v>31</v>
      </c>
      <c r="G296" s="2" t="s">
        <v>783</v>
      </c>
      <c r="H296" s="2" t="s">
        <v>88</v>
      </c>
      <c r="I296" s="2" t="s">
        <v>45</v>
      </c>
      <c r="J296" s="2">
        <v>45</v>
      </c>
      <c r="K296" s="5" t="s">
        <v>46</v>
      </c>
    </row>
    <row r="297" spans="1:11" ht="15.5" hidden="1" thickTop="1" thickBot="1" x14ac:dyDescent="0.4">
      <c r="A297" s="4" t="s">
        <v>11</v>
      </c>
      <c r="B297" s="2" t="s">
        <v>12</v>
      </c>
      <c r="C297" s="2" t="s">
        <v>13</v>
      </c>
      <c r="D297" s="2" t="s">
        <v>784</v>
      </c>
      <c r="E297" s="2" t="s">
        <v>785</v>
      </c>
      <c r="F297" s="2" t="s">
        <v>179</v>
      </c>
      <c r="G297" s="2" t="s">
        <v>168</v>
      </c>
      <c r="H297" s="2" t="s">
        <v>88</v>
      </c>
      <c r="I297" s="2" t="s">
        <v>45</v>
      </c>
      <c r="J297" s="2">
        <v>420</v>
      </c>
      <c r="K297" s="5" t="s">
        <v>786</v>
      </c>
    </row>
    <row r="298" spans="1:11" ht="15.5" hidden="1" thickTop="1" thickBot="1" x14ac:dyDescent="0.4">
      <c r="A298" s="4" t="s">
        <v>11</v>
      </c>
      <c r="B298" s="2" t="s">
        <v>12</v>
      </c>
      <c r="C298" s="2" t="s">
        <v>13</v>
      </c>
      <c r="D298" s="2" t="s">
        <v>272</v>
      </c>
      <c r="E298" s="2" t="s">
        <v>273</v>
      </c>
      <c r="F298" s="2" t="s">
        <v>69</v>
      </c>
      <c r="G298" s="2" t="s">
        <v>38</v>
      </c>
      <c r="H298" s="2" t="s">
        <v>33</v>
      </c>
      <c r="I298" s="2" t="s">
        <v>19</v>
      </c>
      <c r="J298" s="3">
        <v>2760</v>
      </c>
      <c r="K298" s="5" t="s">
        <v>46</v>
      </c>
    </row>
    <row r="299" spans="1:11" ht="15.5" hidden="1" thickTop="1" thickBot="1" x14ac:dyDescent="0.4">
      <c r="A299" s="4" t="s">
        <v>11</v>
      </c>
      <c r="B299" s="2" t="s">
        <v>12</v>
      </c>
      <c r="C299" s="2" t="s">
        <v>28</v>
      </c>
      <c r="D299" s="2" t="s">
        <v>787</v>
      </c>
      <c r="E299" s="2" t="s">
        <v>182</v>
      </c>
      <c r="F299" s="2" t="s">
        <v>31</v>
      </c>
      <c r="G299" s="2" t="s">
        <v>183</v>
      </c>
      <c r="H299" s="2" t="s">
        <v>88</v>
      </c>
      <c r="I299" s="2" t="s">
        <v>19</v>
      </c>
      <c r="J299" s="3">
        <v>4040</v>
      </c>
      <c r="K299" s="5" t="s">
        <v>788</v>
      </c>
    </row>
    <row r="300" spans="1:11" ht="15.5" hidden="1" thickTop="1" thickBot="1" x14ac:dyDescent="0.4">
      <c r="A300" s="4" t="s">
        <v>11</v>
      </c>
      <c r="B300" s="2" t="s">
        <v>21</v>
      </c>
      <c r="C300" s="2" t="s">
        <v>28</v>
      </c>
      <c r="D300" s="2" t="s">
        <v>789</v>
      </c>
      <c r="E300" s="2" t="s">
        <v>790</v>
      </c>
      <c r="F300" s="2" t="s">
        <v>141</v>
      </c>
      <c r="G300" s="2" t="s">
        <v>791</v>
      </c>
      <c r="H300" s="2" t="s">
        <v>56</v>
      </c>
      <c r="I300" s="2" t="s">
        <v>45</v>
      </c>
      <c r="J300" s="3">
        <v>9030</v>
      </c>
      <c r="K300" s="5" t="s">
        <v>83</v>
      </c>
    </row>
    <row r="301" spans="1:11" ht="15.5" thickTop="1" thickBot="1" x14ac:dyDescent="0.4">
      <c r="A301" s="4" t="s">
        <v>11</v>
      </c>
      <c r="B301" s="2" t="s">
        <v>75</v>
      </c>
      <c r="C301" s="2" t="s">
        <v>28</v>
      </c>
      <c r="D301" s="2" t="s">
        <v>792</v>
      </c>
      <c r="E301" s="2" t="s">
        <v>229</v>
      </c>
      <c r="F301" s="2" t="s">
        <v>141</v>
      </c>
      <c r="G301" s="2" t="s">
        <v>405</v>
      </c>
      <c r="H301" s="2" t="s">
        <v>44</v>
      </c>
      <c r="I301" s="2" t="s">
        <v>19</v>
      </c>
      <c r="J301" s="3">
        <v>205350</v>
      </c>
      <c r="K301" s="5" t="s">
        <v>793</v>
      </c>
    </row>
    <row r="302" spans="1:11" ht="15.5" hidden="1" thickTop="1" thickBot="1" x14ac:dyDescent="0.4">
      <c r="A302" s="4" t="s">
        <v>11</v>
      </c>
      <c r="B302" s="2" t="s">
        <v>52</v>
      </c>
      <c r="C302" s="2" t="s">
        <v>28</v>
      </c>
      <c r="D302" s="2" t="s">
        <v>794</v>
      </c>
      <c r="E302" s="2" t="s">
        <v>795</v>
      </c>
      <c r="F302" s="2" t="s">
        <v>49</v>
      </c>
      <c r="G302" s="2" t="s">
        <v>439</v>
      </c>
      <c r="H302" s="2" t="s">
        <v>56</v>
      </c>
      <c r="I302" s="2" t="s">
        <v>45</v>
      </c>
      <c r="J302" s="2">
        <v>210</v>
      </c>
      <c r="K302" s="5" t="s">
        <v>796</v>
      </c>
    </row>
    <row r="303" spans="1:11" ht="15.5" hidden="1" thickTop="1" thickBot="1" x14ac:dyDescent="0.4">
      <c r="A303" s="4" t="s">
        <v>11</v>
      </c>
      <c r="B303" s="2" t="s">
        <v>75</v>
      </c>
      <c r="C303" s="2" t="s">
        <v>63</v>
      </c>
      <c r="D303" s="2" t="s">
        <v>797</v>
      </c>
      <c r="E303" s="2" t="s">
        <v>798</v>
      </c>
      <c r="F303" s="2" t="s">
        <v>141</v>
      </c>
      <c r="G303" s="2" t="s">
        <v>147</v>
      </c>
      <c r="H303" s="2" t="s">
        <v>88</v>
      </c>
      <c r="I303" s="2" t="s">
        <v>45</v>
      </c>
      <c r="J303" s="3">
        <v>3810</v>
      </c>
      <c r="K303" s="5" t="s">
        <v>799</v>
      </c>
    </row>
    <row r="304" spans="1:11" ht="15.5" hidden="1" thickTop="1" thickBot="1" x14ac:dyDescent="0.4">
      <c r="A304" s="4" t="s">
        <v>11</v>
      </c>
      <c r="B304" s="2" t="s">
        <v>12</v>
      </c>
      <c r="C304" s="2" t="s">
        <v>13</v>
      </c>
      <c r="D304" s="2" t="s">
        <v>800</v>
      </c>
      <c r="E304" s="2" t="s">
        <v>801</v>
      </c>
      <c r="F304" s="2" t="s">
        <v>802</v>
      </c>
      <c r="G304" s="2" t="s">
        <v>803</v>
      </c>
      <c r="H304" s="2" t="s">
        <v>88</v>
      </c>
      <c r="I304" s="2" t="s">
        <v>45</v>
      </c>
      <c r="J304" s="2">
        <v>683</v>
      </c>
      <c r="K304" s="5" t="s">
        <v>46</v>
      </c>
    </row>
    <row r="305" spans="1:11" ht="15.5" hidden="1" thickTop="1" thickBot="1" x14ac:dyDescent="0.4">
      <c r="A305" s="4" t="s">
        <v>11</v>
      </c>
      <c r="B305" s="2" t="s">
        <v>12</v>
      </c>
      <c r="C305" s="2" t="s">
        <v>13</v>
      </c>
      <c r="D305" s="2" t="s">
        <v>804</v>
      </c>
      <c r="E305" s="2" t="s">
        <v>805</v>
      </c>
      <c r="F305" s="2" t="s">
        <v>31</v>
      </c>
      <c r="G305" s="2" t="s">
        <v>806</v>
      </c>
      <c r="H305" s="2" t="s">
        <v>33</v>
      </c>
      <c r="I305" s="2" t="s">
        <v>45</v>
      </c>
      <c r="J305" s="3">
        <v>8350</v>
      </c>
      <c r="K305" s="5" t="s">
        <v>807</v>
      </c>
    </row>
    <row r="306" spans="1:11" ht="15.5" hidden="1" thickTop="1" thickBot="1" x14ac:dyDescent="0.4">
      <c r="A306" s="4" t="s">
        <v>11</v>
      </c>
      <c r="B306" s="2" t="s">
        <v>21</v>
      </c>
      <c r="C306" s="2" t="s">
        <v>13</v>
      </c>
      <c r="D306" s="2" t="s">
        <v>808</v>
      </c>
      <c r="E306" s="2" t="s">
        <v>809</v>
      </c>
      <c r="F306" s="2" t="s">
        <v>141</v>
      </c>
      <c r="G306" s="2" t="s">
        <v>505</v>
      </c>
      <c r="H306" s="2" t="s">
        <v>33</v>
      </c>
      <c r="I306" s="2" t="s">
        <v>19</v>
      </c>
      <c r="J306" s="3">
        <v>4770</v>
      </c>
      <c r="K306" s="5" t="s">
        <v>810</v>
      </c>
    </row>
    <row r="307" spans="1:11" ht="15.5" hidden="1" thickTop="1" thickBot="1" x14ac:dyDescent="0.4">
      <c r="A307" s="4" t="s">
        <v>11</v>
      </c>
      <c r="B307" s="2" t="s">
        <v>12</v>
      </c>
      <c r="C307" s="2" t="s">
        <v>13</v>
      </c>
      <c r="D307" s="2" t="s">
        <v>811</v>
      </c>
      <c r="E307" s="2" t="s">
        <v>812</v>
      </c>
      <c r="F307" s="2" t="s">
        <v>279</v>
      </c>
      <c r="G307" s="2" t="s">
        <v>168</v>
      </c>
      <c r="H307" s="2" t="s">
        <v>33</v>
      </c>
      <c r="I307" s="2" t="s">
        <v>45</v>
      </c>
      <c r="J307" s="3">
        <v>51270</v>
      </c>
      <c r="K307" s="5" t="s">
        <v>813</v>
      </c>
    </row>
    <row r="308" spans="1:11" ht="15.5" hidden="1" thickTop="1" thickBot="1" x14ac:dyDescent="0.4">
      <c r="A308" s="4" t="s">
        <v>11</v>
      </c>
      <c r="B308" s="2" t="s">
        <v>12</v>
      </c>
      <c r="C308" s="2" t="s">
        <v>63</v>
      </c>
      <c r="D308" s="2" t="s">
        <v>814</v>
      </c>
      <c r="E308" s="2" t="s">
        <v>65</v>
      </c>
      <c r="F308" s="2" t="s">
        <v>353</v>
      </c>
      <c r="G308" s="2" t="s">
        <v>267</v>
      </c>
      <c r="H308" s="2" t="s">
        <v>33</v>
      </c>
      <c r="I308" s="2" t="s">
        <v>19</v>
      </c>
      <c r="J308" s="3">
        <v>2540</v>
      </c>
      <c r="K308" s="5" t="s">
        <v>46</v>
      </c>
    </row>
    <row r="309" spans="1:11" ht="15.5" hidden="1" thickTop="1" thickBot="1" x14ac:dyDescent="0.4">
      <c r="A309" s="4" t="s">
        <v>11</v>
      </c>
      <c r="B309" s="2" t="s">
        <v>12</v>
      </c>
      <c r="C309" s="2" t="s">
        <v>28</v>
      </c>
      <c r="D309" s="2" t="s">
        <v>815</v>
      </c>
      <c r="E309" s="2" t="s">
        <v>816</v>
      </c>
      <c r="F309" s="2" t="s">
        <v>95</v>
      </c>
      <c r="G309" s="2" t="s">
        <v>505</v>
      </c>
      <c r="H309" s="2" t="s">
        <v>33</v>
      </c>
      <c r="I309" s="2" t="s">
        <v>45</v>
      </c>
      <c r="J309" s="3">
        <v>10270</v>
      </c>
      <c r="K309" s="5" t="s">
        <v>817</v>
      </c>
    </row>
    <row r="310" spans="1:11" ht="15.5" hidden="1" thickTop="1" thickBot="1" x14ac:dyDescent="0.4">
      <c r="A310" s="4" t="s">
        <v>11</v>
      </c>
      <c r="B310" s="2" t="s">
        <v>21</v>
      </c>
      <c r="C310" s="2" t="s">
        <v>63</v>
      </c>
      <c r="D310" s="2" t="s">
        <v>818</v>
      </c>
      <c r="E310" s="2" t="s">
        <v>65</v>
      </c>
      <c r="F310" s="2" t="s">
        <v>31</v>
      </c>
      <c r="G310" s="2" t="s">
        <v>50</v>
      </c>
      <c r="H310" s="2" t="s">
        <v>88</v>
      </c>
      <c r="I310" s="2" t="s">
        <v>45</v>
      </c>
      <c r="J310" s="2">
        <v>180</v>
      </c>
      <c r="K310" s="5" t="s">
        <v>46</v>
      </c>
    </row>
    <row r="311" spans="1:11" ht="15.5" hidden="1" thickTop="1" thickBot="1" x14ac:dyDescent="0.4">
      <c r="A311" s="4" t="s">
        <v>11</v>
      </c>
      <c r="B311" s="2" t="s">
        <v>75</v>
      </c>
      <c r="C311" s="2" t="s">
        <v>28</v>
      </c>
      <c r="D311" s="2" t="s">
        <v>586</v>
      </c>
      <c r="E311" s="2" t="s">
        <v>587</v>
      </c>
      <c r="F311" s="2" t="s">
        <v>31</v>
      </c>
      <c r="G311" s="2" t="s">
        <v>588</v>
      </c>
      <c r="H311" s="2" t="s">
        <v>33</v>
      </c>
      <c r="I311" s="2" t="s">
        <v>45</v>
      </c>
      <c r="J311" s="3">
        <v>3780</v>
      </c>
      <c r="K311" s="5" t="s">
        <v>46</v>
      </c>
    </row>
    <row r="312" spans="1:11" ht="15.5" hidden="1" thickTop="1" thickBot="1" x14ac:dyDescent="0.4">
      <c r="A312" s="4" t="s">
        <v>11</v>
      </c>
      <c r="B312" s="2" t="s">
        <v>75</v>
      </c>
      <c r="C312" s="2" t="s">
        <v>13</v>
      </c>
      <c r="D312" s="2" t="s">
        <v>819</v>
      </c>
      <c r="E312" s="2" t="s">
        <v>13</v>
      </c>
      <c r="F312" s="2" t="s">
        <v>31</v>
      </c>
      <c r="G312" s="2" t="s">
        <v>820</v>
      </c>
      <c r="H312" s="2" t="s">
        <v>33</v>
      </c>
      <c r="I312" s="2" t="s">
        <v>45</v>
      </c>
      <c r="J312" s="2">
        <v>180</v>
      </c>
      <c r="K312" s="5" t="s">
        <v>46</v>
      </c>
    </row>
    <row r="313" spans="1:11" ht="15.5" hidden="1" thickTop="1" thickBot="1" x14ac:dyDescent="0.4">
      <c r="A313" s="4" t="s">
        <v>11</v>
      </c>
      <c r="B313" s="2" t="s">
        <v>12</v>
      </c>
      <c r="C313" s="2" t="s">
        <v>63</v>
      </c>
      <c r="D313" s="2" t="s">
        <v>821</v>
      </c>
      <c r="E313" s="2" t="s">
        <v>65</v>
      </c>
      <c r="F313" s="2" t="s">
        <v>822</v>
      </c>
      <c r="G313" s="2" t="s">
        <v>70</v>
      </c>
      <c r="H313" s="2" t="s">
        <v>116</v>
      </c>
      <c r="I313" s="2" t="s">
        <v>45</v>
      </c>
      <c r="J313" s="2">
        <v>90</v>
      </c>
      <c r="K313" s="5" t="s">
        <v>46</v>
      </c>
    </row>
    <row r="314" spans="1:11" ht="15.5" hidden="1" thickTop="1" thickBot="1" x14ac:dyDescent="0.4">
      <c r="A314" s="4" t="s">
        <v>11</v>
      </c>
      <c r="B314" s="2" t="s">
        <v>75</v>
      </c>
      <c r="C314" s="2" t="s">
        <v>28</v>
      </c>
      <c r="D314" s="2" t="s">
        <v>823</v>
      </c>
      <c r="E314" s="2" t="s">
        <v>122</v>
      </c>
      <c r="F314" s="2" t="s">
        <v>300</v>
      </c>
      <c r="G314" s="2" t="s">
        <v>614</v>
      </c>
      <c r="H314" s="2" t="s">
        <v>33</v>
      </c>
      <c r="I314" s="2" t="s">
        <v>19</v>
      </c>
      <c r="J314" s="3">
        <v>9300</v>
      </c>
      <c r="K314" s="5" t="s">
        <v>615</v>
      </c>
    </row>
    <row r="315" spans="1:11" ht="15.5" hidden="1" thickTop="1" thickBot="1" x14ac:dyDescent="0.4">
      <c r="A315" s="4" t="s">
        <v>11</v>
      </c>
      <c r="B315" s="2" t="s">
        <v>75</v>
      </c>
      <c r="C315" s="2" t="s">
        <v>28</v>
      </c>
      <c r="D315" s="2" t="s">
        <v>824</v>
      </c>
      <c r="E315" s="2" t="s">
        <v>825</v>
      </c>
      <c r="F315" s="2" t="s">
        <v>31</v>
      </c>
      <c r="G315" s="2" t="s">
        <v>826</v>
      </c>
      <c r="H315" s="2" t="s">
        <v>88</v>
      </c>
      <c r="I315" s="2" t="s">
        <v>19</v>
      </c>
      <c r="J315" s="3">
        <v>106370</v>
      </c>
      <c r="K315" s="5" t="s">
        <v>187</v>
      </c>
    </row>
    <row r="316" spans="1:11" ht="15.5" hidden="1" thickTop="1" thickBot="1" x14ac:dyDescent="0.4">
      <c r="A316" s="4" t="s">
        <v>11</v>
      </c>
      <c r="B316" s="2" t="s">
        <v>12</v>
      </c>
      <c r="C316" s="2" t="s">
        <v>13</v>
      </c>
      <c r="D316" s="2" t="s">
        <v>633</v>
      </c>
      <c r="E316" s="2" t="s">
        <v>189</v>
      </c>
      <c r="F316" s="2" t="s">
        <v>179</v>
      </c>
      <c r="G316" s="2" t="s">
        <v>50</v>
      </c>
      <c r="H316" s="2" t="s">
        <v>33</v>
      </c>
      <c r="I316" s="2" t="s">
        <v>45</v>
      </c>
      <c r="J316" s="2">
        <v>500</v>
      </c>
      <c r="K316" s="5" t="s">
        <v>46</v>
      </c>
    </row>
    <row r="317" spans="1:11" ht="15.5" hidden="1" thickTop="1" thickBot="1" x14ac:dyDescent="0.4">
      <c r="A317" s="4" t="s">
        <v>11</v>
      </c>
      <c r="B317" s="2" t="s">
        <v>21</v>
      </c>
      <c r="C317" s="2" t="s">
        <v>28</v>
      </c>
      <c r="D317" s="2" t="s">
        <v>144</v>
      </c>
      <c r="E317" s="2" t="s">
        <v>194</v>
      </c>
      <c r="F317" s="2" t="s">
        <v>141</v>
      </c>
      <c r="G317" s="2" t="s">
        <v>147</v>
      </c>
      <c r="H317" s="2" t="s">
        <v>18</v>
      </c>
      <c r="I317" s="2" t="s">
        <v>19</v>
      </c>
      <c r="J317" s="3">
        <v>157150</v>
      </c>
      <c r="K317" s="5" t="s">
        <v>827</v>
      </c>
    </row>
    <row r="318" spans="1:11" ht="15.5" hidden="1" thickTop="1" thickBot="1" x14ac:dyDescent="0.4">
      <c r="A318" s="4" t="s">
        <v>11</v>
      </c>
      <c r="B318" s="2" t="s">
        <v>12</v>
      </c>
      <c r="C318" s="2" t="s">
        <v>63</v>
      </c>
      <c r="D318" s="2" t="s">
        <v>828</v>
      </c>
      <c r="E318" s="2" t="s">
        <v>167</v>
      </c>
      <c r="F318" s="2" t="s">
        <v>141</v>
      </c>
      <c r="G318" s="2" t="s">
        <v>168</v>
      </c>
      <c r="H318" s="2" t="s">
        <v>33</v>
      </c>
      <c r="I318" s="2" t="s">
        <v>45</v>
      </c>
      <c r="J318" s="2">
        <v>960</v>
      </c>
      <c r="K318" s="5" t="s">
        <v>829</v>
      </c>
    </row>
    <row r="319" spans="1:11" ht="15.5" hidden="1" thickTop="1" thickBot="1" x14ac:dyDescent="0.4">
      <c r="A319" s="4" t="s">
        <v>11</v>
      </c>
      <c r="B319" s="2" t="s">
        <v>21</v>
      </c>
      <c r="C319" s="2" t="s">
        <v>28</v>
      </c>
      <c r="D319" s="2" t="s">
        <v>830</v>
      </c>
      <c r="E319" s="2" t="s">
        <v>167</v>
      </c>
      <c r="F319" s="2" t="s">
        <v>95</v>
      </c>
      <c r="G319" s="2" t="s">
        <v>831</v>
      </c>
      <c r="H319" s="2" t="s">
        <v>18</v>
      </c>
      <c r="I319" s="2" t="s">
        <v>19</v>
      </c>
      <c r="J319" s="3">
        <v>50040</v>
      </c>
      <c r="K319" s="5" t="s">
        <v>832</v>
      </c>
    </row>
    <row r="320" spans="1:11" ht="15.5" hidden="1" thickTop="1" thickBot="1" x14ac:dyDescent="0.4">
      <c r="A320" s="4" t="s">
        <v>11</v>
      </c>
      <c r="B320" s="2" t="s">
        <v>12</v>
      </c>
      <c r="C320" s="2" t="s">
        <v>63</v>
      </c>
      <c r="D320" s="2" t="s">
        <v>833</v>
      </c>
      <c r="E320" s="2" t="s">
        <v>65</v>
      </c>
      <c r="F320" s="2" t="s">
        <v>245</v>
      </c>
      <c r="G320" s="2" t="s">
        <v>67</v>
      </c>
      <c r="H320" s="2" t="s">
        <v>88</v>
      </c>
      <c r="I320" s="2" t="s">
        <v>45</v>
      </c>
      <c r="J320" s="2">
        <v>360</v>
      </c>
      <c r="K320" s="5" t="s">
        <v>46</v>
      </c>
    </row>
    <row r="321" spans="1:11" ht="15.5" hidden="1" thickTop="1" thickBot="1" x14ac:dyDescent="0.4">
      <c r="A321" s="4" t="s">
        <v>11</v>
      </c>
      <c r="B321" s="2" t="s">
        <v>12</v>
      </c>
      <c r="C321" s="2" t="s">
        <v>13</v>
      </c>
      <c r="D321" s="2" t="s">
        <v>834</v>
      </c>
      <c r="E321" s="2" t="s">
        <v>835</v>
      </c>
      <c r="F321" s="2" t="s">
        <v>141</v>
      </c>
      <c r="G321" s="2" t="s">
        <v>836</v>
      </c>
      <c r="H321" s="2" t="s">
        <v>88</v>
      </c>
      <c r="I321" s="2" t="s">
        <v>45</v>
      </c>
      <c r="J321" s="2">
        <v>751</v>
      </c>
      <c r="K321" s="5" t="s">
        <v>89</v>
      </c>
    </row>
    <row r="322" spans="1:11" ht="15.5" hidden="1" thickTop="1" thickBot="1" x14ac:dyDescent="0.4">
      <c r="A322" s="4" t="s">
        <v>11</v>
      </c>
      <c r="B322" s="2" t="s">
        <v>75</v>
      </c>
      <c r="C322" s="2" t="s">
        <v>13</v>
      </c>
      <c r="D322" s="2" t="s">
        <v>837</v>
      </c>
      <c r="E322" s="2" t="s">
        <v>13</v>
      </c>
      <c r="F322" s="2" t="s">
        <v>582</v>
      </c>
      <c r="G322" s="2" t="s">
        <v>55</v>
      </c>
      <c r="H322" s="2" t="s">
        <v>33</v>
      </c>
      <c r="I322" s="2" t="s">
        <v>45</v>
      </c>
      <c r="J322" s="2">
        <v>180</v>
      </c>
      <c r="K322" s="5" t="s">
        <v>46</v>
      </c>
    </row>
    <row r="323" spans="1:11" ht="15.5" hidden="1" thickTop="1" thickBot="1" x14ac:dyDescent="0.4">
      <c r="A323" s="4" t="s">
        <v>11</v>
      </c>
      <c r="B323" s="2" t="s">
        <v>12</v>
      </c>
      <c r="C323" s="2" t="s">
        <v>63</v>
      </c>
      <c r="D323" s="2" t="s">
        <v>838</v>
      </c>
      <c r="E323" s="2" t="s">
        <v>839</v>
      </c>
      <c r="F323" s="2" t="s">
        <v>279</v>
      </c>
      <c r="G323" s="2" t="s">
        <v>405</v>
      </c>
      <c r="H323" s="2" t="s">
        <v>33</v>
      </c>
      <c r="I323" s="2" t="s">
        <v>45</v>
      </c>
      <c r="J323" s="2">
        <v>900</v>
      </c>
      <c r="K323" s="5" t="s">
        <v>46</v>
      </c>
    </row>
    <row r="324" spans="1:11" ht="15.5" hidden="1" thickTop="1" thickBot="1" x14ac:dyDescent="0.4">
      <c r="A324" s="4" t="s">
        <v>57</v>
      </c>
      <c r="B324" s="2" t="s">
        <v>12</v>
      </c>
      <c r="C324" s="2" t="s">
        <v>28</v>
      </c>
      <c r="D324" s="2" t="s">
        <v>840</v>
      </c>
      <c r="E324" s="2" t="s">
        <v>841</v>
      </c>
      <c r="F324" s="2" t="s">
        <v>95</v>
      </c>
      <c r="G324" s="2" t="s">
        <v>842</v>
      </c>
      <c r="H324" s="2" t="s">
        <v>33</v>
      </c>
      <c r="I324" s="2" t="s">
        <v>45</v>
      </c>
      <c r="J324" s="3">
        <v>1040</v>
      </c>
      <c r="K324" s="5" t="s">
        <v>843</v>
      </c>
    </row>
    <row r="325" spans="1:11" ht="15.5" hidden="1" thickTop="1" thickBot="1" x14ac:dyDescent="0.4">
      <c r="A325" s="4" t="s">
        <v>11</v>
      </c>
      <c r="B325" s="2" t="s">
        <v>12</v>
      </c>
      <c r="C325" s="2" t="s">
        <v>13</v>
      </c>
      <c r="D325" s="2" t="s">
        <v>844</v>
      </c>
      <c r="E325" s="2" t="s">
        <v>419</v>
      </c>
      <c r="F325" s="2" t="s">
        <v>300</v>
      </c>
      <c r="G325" s="2" t="s">
        <v>70</v>
      </c>
      <c r="H325" s="2" t="s">
        <v>33</v>
      </c>
      <c r="I325" s="2" t="s">
        <v>45</v>
      </c>
      <c r="J325" s="2">
        <v>780</v>
      </c>
      <c r="K325" s="5" t="s">
        <v>46</v>
      </c>
    </row>
    <row r="326" spans="1:11" ht="15.5" hidden="1" thickTop="1" thickBot="1" x14ac:dyDescent="0.4">
      <c r="A326" s="4" t="s">
        <v>11</v>
      </c>
      <c r="B326" s="2" t="s">
        <v>12</v>
      </c>
      <c r="C326" s="2" t="s">
        <v>28</v>
      </c>
      <c r="D326" s="2" t="s">
        <v>420</v>
      </c>
      <c r="E326" s="2" t="s">
        <v>421</v>
      </c>
      <c r="F326" s="2" t="s">
        <v>141</v>
      </c>
      <c r="G326" s="2" t="s">
        <v>422</v>
      </c>
      <c r="H326" s="2" t="s">
        <v>88</v>
      </c>
      <c r="I326" s="2" t="s">
        <v>19</v>
      </c>
      <c r="J326" s="3">
        <v>2540</v>
      </c>
      <c r="K326" s="5" t="s">
        <v>423</v>
      </c>
    </row>
    <row r="327" spans="1:11" ht="15.5" hidden="1" thickTop="1" thickBot="1" x14ac:dyDescent="0.4">
      <c r="A327" s="4" t="s">
        <v>11</v>
      </c>
      <c r="B327" s="2" t="s">
        <v>12</v>
      </c>
      <c r="C327" s="2" t="s">
        <v>28</v>
      </c>
      <c r="D327" s="2" t="s">
        <v>845</v>
      </c>
      <c r="E327" s="2" t="s">
        <v>41</v>
      </c>
      <c r="F327" s="2" t="s">
        <v>104</v>
      </c>
      <c r="G327" s="2" t="s">
        <v>32</v>
      </c>
      <c r="H327" s="2" t="s">
        <v>33</v>
      </c>
      <c r="I327" s="2" t="s">
        <v>45</v>
      </c>
      <c r="J327" s="2">
        <v>600</v>
      </c>
      <c r="K327" s="5" t="s">
        <v>46</v>
      </c>
    </row>
    <row r="328" spans="1:11" ht="15.5" hidden="1" thickTop="1" thickBot="1" x14ac:dyDescent="0.4">
      <c r="A328" s="4" t="s">
        <v>11</v>
      </c>
      <c r="B328" s="2" t="s">
        <v>75</v>
      </c>
      <c r="C328" s="2" t="s">
        <v>13</v>
      </c>
      <c r="D328" s="2" t="s">
        <v>837</v>
      </c>
      <c r="E328" s="2" t="s">
        <v>13</v>
      </c>
      <c r="F328" s="2" t="s">
        <v>162</v>
      </c>
      <c r="G328" s="2" t="s">
        <v>55</v>
      </c>
      <c r="H328" s="2" t="s">
        <v>33</v>
      </c>
      <c r="I328" s="2" t="s">
        <v>45</v>
      </c>
      <c r="J328" s="2">
        <v>180</v>
      </c>
      <c r="K328" s="5" t="s">
        <v>46</v>
      </c>
    </row>
    <row r="329" spans="1:11" ht="15.5" hidden="1" thickTop="1" thickBot="1" x14ac:dyDescent="0.4">
      <c r="A329" s="4" t="s">
        <v>11</v>
      </c>
      <c r="B329" s="2" t="s">
        <v>75</v>
      </c>
      <c r="C329" s="2" t="s">
        <v>28</v>
      </c>
      <c r="D329" s="2" t="s">
        <v>846</v>
      </c>
      <c r="E329" s="2" t="s">
        <v>847</v>
      </c>
      <c r="F329" s="2" t="s">
        <v>179</v>
      </c>
      <c r="G329" s="2" t="s">
        <v>70</v>
      </c>
      <c r="H329" s="2" t="s">
        <v>33</v>
      </c>
      <c r="I329" s="2" t="s">
        <v>45</v>
      </c>
      <c r="J329" s="2">
        <v>45</v>
      </c>
      <c r="K329" s="5" t="s">
        <v>46</v>
      </c>
    </row>
    <row r="330" spans="1:11" ht="15.5" hidden="1" thickTop="1" thickBot="1" x14ac:dyDescent="0.4">
      <c r="A330" s="4" t="s">
        <v>11</v>
      </c>
      <c r="B330" s="2" t="s">
        <v>12</v>
      </c>
      <c r="C330" s="2" t="s">
        <v>28</v>
      </c>
      <c r="D330" s="2" t="s">
        <v>848</v>
      </c>
      <c r="E330" s="2" t="s">
        <v>438</v>
      </c>
      <c r="F330" s="2" t="s">
        <v>31</v>
      </c>
      <c r="G330" s="2" t="s">
        <v>849</v>
      </c>
      <c r="H330" s="2" t="s">
        <v>33</v>
      </c>
      <c r="I330" s="2" t="s">
        <v>45</v>
      </c>
      <c r="J330" s="3">
        <v>6040</v>
      </c>
      <c r="K330" s="5" t="s">
        <v>850</v>
      </c>
    </row>
    <row r="331" spans="1:11" ht="15.5" hidden="1" thickTop="1" thickBot="1" x14ac:dyDescent="0.4">
      <c r="A331" s="4" t="s">
        <v>11</v>
      </c>
      <c r="B331" s="2" t="s">
        <v>21</v>
      </c>
      <c r="C331" s="2" t="s">
        <v>28</v>
      </c>
      <c r="D331" s="2" t="s">
        <v>851</v>
      </c>
      <c r="E331" s="2" t="s">
        <v>852</v>
      </c>
      <c r="F331" s="2" t="s">
        <v>179</v>
      </c>
      <c r="G331" s="2" t="s">
        <v>70</v>
      </c>
      <c r="H331" s="2" t="s">
        <v>33</v>
      </c>
      <c r="I331" s="2" t="s">
        <v>45</v>
      </c>
      <c r="J331" s="2">
        <v>420</v>
      </c>
      <c r="K331" s="5" t="s">
        <v>46</v>
      </c>
    </row>
    <row r="332" spans="1:11" ht="15.5" hidden="1" thickTop="1" thickBot="1" x14ac:dyDescent="0.4">
      <c r="A332" s="4" t="s">
        <v>11</v>
      </c>
      <c r="B332" s="2" t="s">
        <v>75</v>
      </c>
      <c r="C332" s="2" t="s">
        <v>28</v>
      </c>
      <c r="D332" s="2" t="s">
        <v>853</v>
      </c>
      <c r="E332" s="2" t="s">
        <v>854</v>
      </c>
      <c r="F332" s="2" t="s">
        <v>141</v>
      </c>
      <c r="G332" s="2" t="s">
        <v>855</v>
      </c>
      <c r="H332" s="2" t="s">
        <v>33</v>
      </c>
      <c r="I332" s="2" t="s">
        <v>45</v>
      </c>
      <c r="J332" s="2">
        <v>57</v>
      </c>
      <c r="K332" s="5" t="s">
        <v>46</v>
      </c>
    </row>
    <row r="333" spans="1:11" ht="15.5" hidden="1" thickTop="1" thickBot="1" x14ac:dyDescent="0.4">
      <c r="A333" s="4" t="s">
        <v>11</v>
      </c>
      <c r="B333" s="2" t="s">
        <v>12</v>
      </c>
      <c r="C333" s="2" t="s">
        <v>63</v>
      </c>
      <c r="D333" s="2" t="s">
        <v>856</v>
      </c>
      <c r="E333" s="2" t="s">
        <v>65</v>
      </c>
      <c r="F333" s="2" t="s">
        <v>179</v>
      </c>
      <c r="G333" s="2" t="s">
        <v>857</v>
      </c>
      <c r="H333" s="2" t="s">
        <v>33</v>
      </c>
      <c r="I333" s="2" t="s">
        <v>45</v>
      </c>
      <c r="J333" s="2">
        <v>45</v>
      </c>
      <c r="K333" s="5" t="s">
        <v>46</v>
      </c>
    </row>
    <row r="334" spans="1:11" ht="15.5" hidden="1" thickTop="1" thickBot="1" x14ac:dyDescent="0.4">
      <c r="A334" s="4" t="s">
        <v>11</v>
      </c>
      <c r="B334" s="2" t="s">
        <v>12</v>
      </c>
      <c r="C334" s="2" t="s">
        <v>13</v>
      </c>
      <c r="D334" s="2" t="s">
        <v>858</v>
      </c>
      <c r="E334" s="2" t="s">
        <v>859</v>
      </c>
      <c r="F334" s="2" t="s">
        <v>225</v>
      </c>
      <c r="G334" s="2" t="s">
        <v>67</v>
      </c>
      <c r="H334" s="2" t="s">
        <v>33</v>
      </c>
      <c r="I334" s="2" t="s">
        <v>19</v>
      </c>
      <c r="J334" s="3">
        <v>3050</v>
      </c>
      <c r="K334" s="5" t="s">
        <v>860</v>
      </c>
    </row>
    <row r="335" spans="1:11" ht="15.5" hidden="1" thickTop="1" thickBot="1" x14ac:dyDescent="0.4">
      <c r="A335" s="4" t="s">
        <v>11</v>
      </c>
      <c r="B335" s="2" t="s">
        <v>12</v>
      </c>
      <c r="C335" s="2" t="s">
        <v>28</v>
      </c>
      <c r="D335" s="2" t="s">
        <v>861</v>
      </c>
      <c r="E335" s="2" t="s">
        <v>862</v>
      </c>
      <c r="F335" s="2" t="s">
        <v>353</v>
      </c>
      <c r="G335" s="2" t="s">
        <v>855</v>
      </c>
      <c r="H335" s="2" t="s">
        <v>33</v>
      </c>
      <c r="I335" s="2" t="s">
        <v>45</v>
      </c>
      <c r="J335" s="3">
        <v>5060</v>
      </c>
      <c r="K335" s="5" t="s">
        <v>46</v>
      </c>
    </row>
    <row r="336" spans="1:11" ht="15.5" hidden="1" thickTop="1" thickBot="1" x14ac:dyDescent="0.4">
      <c r="A336" s="4" t="s">
        <v>11</v>
      </c>
      <c r="B336" s="2" t="s">
        <v>12</v>
      </c>
      <c r="C336" s="2" t="s">
        <v>28</v>
      </c>
      <c r="D336" s="2" t="s">
        <v>863</v>
      </c>
      <c r="E336" s="2" t="s">
        <v>864</v>
      </c>
      <c r="F336" s="2" t="s">
        <v>37</v>
      </c>
      <c r="G336" s="2" t="s">
        <v>865</v>
      </c>
      <c r="H336" s="2" t="s">
        <v>33</v>
      </c>
      <c r="I336" s="2" t="s">
        <v>45</v>
      </c>
      <c r="J336" s="3">
        <v>2300</v>
      </c>
      <c r="K336" s="5" t="s">
        <v>866</v>
      </c>
    </row>
    <row r="337" spans="1:11" ht="15.5" hidden="1" thickTop="1" thickBot="1" x14ac:dyDescent="0.4">
      <c r="A337" s="4" t="s">
        <v>11</v>
      </c>
      <c r="B337" s="2" t="s">
        <v>12</v>
      </c>
      <c r="C337" s="2" t="s">
        <v>28</v>
      </c>
      <c r="D337" s="2" t="s">
        <v>861</v>
      </c>
      <c r="E337" s="2" t="s">
        <v>867</v>
      </c>
      <c r="F337" s="2" t="s">
        <v>300</v>
      </c>
      <c r="G337" s="2" t="s">
        <v>855</v>
      </c>
      <c r="H337" s="2" t="s">
        <v>33</v>
      </c>
      <c r="I337" s="2" t="s">
        <v>45</v>
      </c>
      <c r="J337" s="3">
        <v>5030</v>
      </c>
      <c r="K337" s="5" t="s">
        <v>868</v>
      </c>
    </row>
    <row r="338" spans="1:11" ht="15.5" hidden="1" thickTop="1" thickBot="1" x14ac:dyDescent="0.4">
      <c r="A338" s="4" t="s">
        <v>11</v>
      </c>
      <c r="B338" s="2" t="s">
        <v>21</v>
      </c>
      <c r="C338" s="2" t="s">
        <v>28</v>
      </c>
      <c r="D338" s="2" t="s">
        <v>869</v>
      </c>
      <c r="E338" s="2" t="s">
        <v>48</v>
      </c>
      <c r="F338" s="2" t="s">
        <v>822</v>
      </c>
      <c r="G338" s="2" t="s">
        <v>50</v>
      </c>
      <c r="H338" s="2" t="s">
        <v>33</v>
      </c>
      <c r="I338" s="2" t="s">
        <v>45</v>
      </c>
      <c r="J338" s="3">
        <v>2060</v>
      </c>
      <c r="K338" s="5" t="s">
        <v>870</v>
      </c>
    </row>
    <row r="339" spans="1:11" ht="15.5" hidden="1" thickTop="1" thickBot="1" x14ac:dyDescent="0.4">
      <c r="A339" s="4" t="s">
        <v>11</v>
      </c>
      <c r="B339" s="2" t="s">
        <v>12</v>
      </c>
      <c r="C339" s="2" t="s">
        <v>28</v>
      </c>
      <c r="D339" s="2" t="s">
        <v>871</v>
      </c>
      <c r="E339" s="2" t="s">
        <v>872</v>
      </c>
      <c r="F339" s="2" t="s">
        <v>37</v>
      </c>
      <c r="G339" s="2" t="s">
        <v>873</v>
      </c>
      <c r="H339" s="2" t="s">
        <v>18</v>
      </c>
      <c r="I339" s="2" t="s">
        <v>19</v>
      </c>
      <c r="J339" s="3">
        <v>4760</v>
      </c>
      <c r="K339" s="5" t="s">
        <v>874</v>
      </c>
    </row>
    <row r="340" spans="1:11" ht="15.5" hidden="1" thickTop="1" thickBot="1" x14ac:dyDescent="0.4">
      <c r="A340" s="4" t="s">
        <v>11</v>
      </c>
      <c r="B340" s="2" t="s">
        <v>21</v>
      </c>
      <c r="C340" s="2" t="s">
        <v>28</v>
      </c>
      <c r="D340" s="2" t="s">
        <v>703</v>
      </c>
      <c r="E340" s="2" t="s">
        <v>755</v>
      </c>
      <c r="F340" s="2" t="s">
        <v>566</v>
      </c>
      <c r="G340" s="2" t="s">
        <v>67</v>
      </c>
      <c r="H340" s="2" t="s">
        <v>88</v>
      </c>
      <c r="I340" s="2" t="s">
        <v>45</v>
      </c>
      <c r="J340" s="3">
        <v>4270</v>
      </c>
      <c r="K340" s="5" t="s">
        <v>148</v>
      </c>
    </row>
    <row r="341" spans="1:11" ht="15.5" hidden="1" thickTop="1" thickBot="1" x14ac:dyDescent="0.4">
      <c r="A341" s="4" t="s">
        <v>11</v>
      </c>
      <c r="B341" s="2" t="s">
        <v>12</v>
      </c>
      <c r="C341" s="2" t="s">
        <v>13</v>
      </c>
      <c r="D341" s="2" t="s">
        <v>875</v>
      </c>
      <c r="E341" s="2" t="s">
        <v>876</v>
      </c>
      <c r="F341" s="2" t="s">
        <v>141</v>
      </c>
      <c r="G341" s="2" t="s">
        <v>877</v>
      </c>
      <c r="H341" s="2" t="s">
        <v>88</v>
      </c>
      <c r="I341" s="2" t="s">
        <v>19</v>
      </c>
      <c r="J341" s="3">
        <v>22030</v>
      </c>
      <c r="K341" s="5" t="s">
        <v>187</v>
      </c>
    </row>
    <row r="342" spans="1:11" ht="15.5" thickTop="1" thickBot="1" x14ac:dyDescent="0.4">
      <c r="A342" s="4" t="s">
        <v>11</v>
      </c>
      <c r="B342" s="2" t="s">
        <v>12</v>
      </c>
      <c r="C342" s="2" t="s">
        <v>28</v>
      </c>
      <c r="D342" s="2" t="s">
        <v>878</v>
      </c>
      <c r="E342" s="2" t="s">
        <v>122</v>
      </c>
      <c r="F342" s="2" t="s">
        <v>245</v>
      </c>
      <c r="G342" s="2" t="s">
        <v>70</v>
      </c>
      <c r="H342" s="2" t="s">
        <v>44</v>
      </c>
      <c r="I342" s="2" t="s">
        <v>45</v>
      </c>
      <c r="J342" s="2">
        <v>90</v>
      </c>
      <c r="K342" s="5" t="s">
        <v>879</v>
      </c>
    </row>
    <row r="343" spans="1:11" ht="15.5" hidden="1" thickTop="1" thickBot="1" x14ac:dyDescent="0.4">
      <c r="A343" s="4" t="s">
        <v>11</v>
      </c>
      <c r="B343" s="2" t="s">
        <v>12</v>
      </c>
      <c r="C343" s="2" t="s">
        <v>13</v>
      </c>
      <c r="D343" s="2" t="s">
        <v>880</v>
      </c>
      <c r="E343" s="2" t="s">
        <v>356</v>
      </c>
      <c r="F343" s="2" t="s">
        <v>95</v>
      </c>
      <c r="G343" s="2" t="s">
        <v>505</v>
      </c>
      <c r="H343" s="2" t="s">
        <v>33</v>
      </c>
      <c r="I343" s="2" t="s">
        <v>45</v>
      </c>
      <c r="J343" s="2">
        <v>330</v>
      </c>
      <c r="K343" s="5" t="s">
        <v>881</v>
      </c>
    </row>
    <row r="344" spans="1:11" ht="15.5" hidden="1" thickTop="1" thickBot="1" x14ac:dyDescent="0.4">
      <c r="A344" s="4" t="s">
        <v>11</v>
      </c>
      <c r="B344" s="2" t="s">
        <v>12</v>
      </c>
      <c r="C344" s="2" t="s">
        <v>13</v>
      </c>
      <c r="D344" s="2" t="s">
        <v>724</v>
      </c>
      <c r="E344" s="2" t="s">
        <v>419</v>
      </c>
      <c r="F344" s="2" t="s">
        <v>225</v>
      </c>
      <c r="G344" s="2" t="s">
        <v>70</v>
      </c>
      <c r="H344" s="2" t="s">
        <v>33</v>
      </c>
      <c r="I344" s="2" t="s">
        <v>45</v>
      </c>
      <c r="J344" s="2">
        <v>524</v>
      </c>
      <c r="K344" s="5" t="s">
        <v>83</v>
      </c>
    </row>
    <row r="345" spans="1:11" ht="15.5" hidden="1" thickTop="1" thickBot="1" x14ac:dyDescent="0.4">
      <c r="A345" s="4" t="s">
        <v>11</v>
      </c>
      <c r="B345" s="2" t="s">
        <v>52</v>
      </c>
      <c r="C345" s="2" t="s">
        <v>63</v>
      </c>
      <c r="D345" s="2" t="s">
        <v>882</v>
      </c>
      <c r="E345" s="2" t="s">
        <v>883</v>
      </c>
      <c r="F345" s="2" t="s">
        <v>95</v>
      </c>
      <c r="G345" s="2" t="s">
        <v>516</v>
      </c>
      <c r="H345" s="2" t="s">
        <v>88</v>
      </c>
      <c r="I345" s="2" t="s">
        <v>45</v>
      </c>
      <c r="J345" s="3">
        <v>2840</v>
      </c>
      <c r="K345" s="5" t="s">
        <v>187</v>
      </c>
    </row>
    <row r="346" spans="1:11" ht="15.5" hidden="1" thickTop="1" thickBot="1" x14ac:dyDescent="0.4">
      <c r="A346" s="4" t="s">
        <v>11</v>
      </c>
      <c r="B346" s="2" t="s">
        <v>21</v>
      </c>
      <c r="C346" s="2" t="s">
        <v>28</v>
      </c>
      <c r="D346" s="2" t="s">
        <v>884</v>
      </c>
      <c r="E346" s="2" t="s">
        <v>885</v>
      </c>
      <c r="F346" s="2" t="s">
        <v>141</v>
      </c>
      <c r="G346" s="2" t="s">
        <v>886</v>
      </c>
      <c r="H346" s="2" t="s">
        <v>116</v>
      </c>
      <c r="I346" s="2" t="s">
        <v>45</v>
      </c>
      <c r="J346" s="3">
        <v>13070</v>
      </c>
      <c r="K346" s="5" t="s">
        <v>887</v>
      </c>
    </row>
    <row r="347" spans="1:11" ht="15.5" hidden="1" thickTop="1" thickBot="1" x14ac:dyDescent="0.4">
      <c r="A347" s="4" t="s">
        <v>11</v>
      </c>
      <c r="B347" s="2" t="s">
        <v>75</v>
      </c>
      <c r="C347" s="2" t="s">
        <v>28</v>
      </c>
      <c r="D347" s="2" t="s">
        <v>888</v>
      </c>
      <c r="E347" s="2" t="s">
        <v>427</v>
      </c>
      <c r="F347" s="2" t="s">
        <v>104</v>
      </c>
      <c r="G347" s="2" t="s">
        <v>70</v>
      </c>
      <c r="H347" s="2" t="s">
        <v>33</v>
      </c>
      <c r="I347" s="2" t="s">
        <v>45</v>
      </c>
      <c r="J347" s="2">
        <v>90</v>
      </c>
      <c r="K347" s="5" t="s">
        <v>46</v>
      </c>
    </row>
    <row r="348" spans="1:11" ht="15.5" hidden="1" thickTop="1" thickBot="1" x14ac:dyDescent="0.4">
      <c r="A348" s="4" t="s">
        <v>11</v>
      </c>
      <c r="B348" s="2" t="s">
        <v>21</v>
      </c>
      <c r="C348" s="2" t="s">
        <v>13</v>
      </c>
      <c r="D348" s="2" t="s">
        <v>889</v>
      </c>
      <c r="E348" s="2" t="s">
        <v>890</v>
      </c>
      <c r="F348" s="2" t="s">
        <v>31</v>
      </c>
      <c r="G348" s="2" t="s">
        <v>891</v>
      </c>
      <c r="H348" s="2" t="s">
        <v>33</v>
      </c>
      <c r="I348" s="2" t="s">
        <v>45</v>
      </c>
      <c r="J348" s="2">
        <v>150</v>
      </c>
      <c r="K348" s="5" t="s">
        <v>46</v>
      </c>
    </row>
    <row r="349" spans="1:11" ht="15.5" hidden="1" thickTop="1" thickBot="1" x14ac:dyDescent="0.4">
      <c r="A349" s="4" t="s">
        <v>11</v>
      </c>
      <c r="B349" s="2" t="s">
        <v>75</v>
      </c>
      <c r="C349" s="2" t="s">
        <v>13</v>
      </c>
      <c r="D349" s="2" t="s">
        <v>892</v>
      </c>
      <c r="E349" s="2" t="s">
        <v>13</v>
      </c>
      <c r="F349" s="2" t="s">
        <v>211</v>
      </c>
      <c r="G349" s="2" t="s">
        <v>70</v>
      </c>
      <c r="H349" s="2" t="s">
        <v>33</v>
      </c>
      <c r="I349" s="2" t="s">
        <v>45</v>
      </c>
      <c r="J349" s="2">
        <v>45</v>
      </c>
      <c r="K349" s="5" t="s">
        <v>46</v>
      </c>
    </row>
    <row r="350" spans="1:11" ht="15.5" hidden="1" thickTop="1" thickBot="1" x14ac:dyDescent="0.4">
      <c r="A350" s="4" t="s">
        <v>11</v>
      </c>
      <c r="B350" s="2" t="s">
        <v>12</v>
      </c>
      <c r="C350" s="2" t="s">
        <v>13</v>
      </c>
      <c r="D350" s="2" t="s">
        <v>893</v>
      </c>
      <c r="E350" s="2" t="s">
        <v>894</v>
      </c>
      <c r="F350" s="2" t="s">
        <v>141</v>
      </c>
      <c r="G350" s="2" t="s">
        <v>895</v>
      </c>
      <c r="H350" s="2" t="s">
        <v>26</v>
      </c>
      <c r="I350" s="2" t="s">
        <v>45</v>
      </c>
      <c r="J350" s="2">
        <v>420</v>
      </c>
      <c r="K350" s="5" t="s">
        <v>46</v>
      </c>
    </row>
    <row r="351" spans="1:11" ht="15.5" hidden="1" thickTop="1" thickBot="1" x14ac:dyDescent="0.4">
      <c r="A351" s="4" t="s">
        <v>11</v>
      </c>
      <c r="B351" s="2" t="s">
        <v>12</v>
      </c>
      <c r="C351" s="2" t="s">
        <v>63</v>
      </c>
      <c r="D351" s="2" t="s">
        <v>896</v>
      </c>
      <c r="E351" s="2" t="s">
        <v>65</v>
      </c>
      <c r="F351" s="2" t="s">
        <v>174</v>
      </c>
      <c r="G351" s="2" t="s">
        <v>897</v>
      </c>
      <c r="H351" s="2" t="s">
        <v>33</v>
      </c>
      <c r="I351" s="2" t="s">
        <v>45</v>
      </c>
      <c r="J351" s="2">
        <v>210</v>
      </c>
      <c r="K351" s="5" t="s">
        <v>46</v>
      </c>
    </row>
    <row r="352" spans="1:11" ht="15.5" thickTop="1" thickBot="1" x14ac:dyDescent="0.4">
      <c r="A352" s="4" t="s">
        <v>11</v>
      </c>
      <c r="B352" s="2" t="s">
        <v>21</v>
      </c>
      <c r="C352" s="2" t="s">
        <v>63</v>
      </c>
      <c r="D352" s="2" t="s">
        <v>898</v>
      </c>
      <c r="E352" s="2" t="s">
        <v>899</v>
      </c>
      <c r="F352" s="2" t="s">
        <v>69</v>
      </c>
      <c r="G352" s="2" t="s">
        <v>900</v>
      </c>
      <c r="H352" s="2" t="s">
        <v>44</v>
      </c>
      <c r="I352" s="2" t="s">
        <v>19</v>
      </c>
      <c r="J352" s="3">
        <v>26010</v>
      </c>
      <c r="K352" s="5" t="s">
        <v>901</v>
      </c>
    </row>
    <row r="353" spans="1:11" ht="15.5" thickTop="1" thickBot="1" x14ac:dyDescent="0.4">
      <c r="A353" s="4" t="s">
        <v>11</v>
      </c>
      <c r="B353" s="2" t="s">
        <v>52</v>
      </c>
      <c r="C353" s="2" t="s">
        <v>28</v>
      </c>
      <c r="D353" s="2" t="s">
        <v>902</v>
      </c>
      <c r="E353" s="2" t="s">
        <v>903</v>
      </c>
      <c r="F353" s="2" t="s">
        <v>95</v>
      </c>
      <c r="G353" s="2" t="s">
        <v>168</v>
      </c>
      <c r="H353" s="2" t="s">
        <v>44</v>
      </c>
      <c r="I353" s="2" t="s">
        <v>45</v>
      </c>
      <c r="J353" s="3">
        <v>3790</v>
      </c>
      <c r="K353" s="5" t="s">
        <v>904</v>
      </c>
    </row>
    <row r="354" spans="1:11" ht="15.5" hidden="1" thickTop="1" thickBot="1" x14ac:dyDescent="0.4">
      <c r="A354" s="4" t="s">
        <v>11</v>
      </c>
      <c r="B354" s="2" t="s">
        <v>21</v>
      </c>
      <c r="C354" s="2" t="s">
        <v>28</v>
      </c>
      <c r="D354" s="2" t="s">
        <v>905</v>
      </c>
      <c r="E354" s="2" t="s">
        <v>906</v>
      </c>
      <c r="F354" s="2" t="s">
        <v>95</v>
      </c>
      <c r="G354" s="2" t="s">
        <v>168</v>
      </c>
      <c r="H354" s="2" t="s">
        <v>18</v>
      </c>
      <c r="I354" s="2" t="s">
        <v>45</v>
      </c>
      <c r="J354" s="3">
        <v>14460</v>
      </c>
      <c r="K354" s="5" t="s">
        <v>46</v>
      </c>
    </row>
    <row r="355" spans="1:11" ht="15.5" hidden="1" thickTop="1" thickBot="1" x14ac:dyDescent="0.4">
      <c r="A355" s="4" t="s">
        <v>11</v>
      </c>
      <c r="B355" s="2" t="s">
        <v>21</v>
      </c>
      <c r="C355" s="2" t="s">
        <v>13</v>
      </c>
      <c r="D355" s="2" t="s">
        <v>907</v>
      </c>
      <c r="E355" s="2" t="s">
        <v>890</v>
      </c>
      <c r="F355" s="2" t="s">
        <v>31</v>
      </c>
      <c r="G355" s="2" t="s">
        <v>891</v>
      </c>
      <c r="H355" s="2" t="s">
        <v>33</v>
      </c>
      <c r="I355" s="2" t="s">
        <v>45</v>
      </c>
      <c r="J355" s="2">
        <v>150</v>
      </c>
      <c r="K355" s="5" t="s">
        <v>46</v>
      </c>
    </row>
    <row r="356" spans="1:11" ht="15.5" hidden="1" thickTop="1" thickBot="1" x14ac:dyDescent="0.4">
      <c r="A356" s="4" t="s">
        <v>11</v>
      </c>
      <c r="B356" s="2" t="s">
        <v>12</v>
      </c>
      <c r="C356" s="2" t="s">
        <v>28</v>
      </c>
      <c r="D356" s="2" t="s">
        <v>908</v>
      </c>
      <c r="E356" s="2" t="s">
        <v>167</v>
      </c>
      <c r="F356" s="2" t="s">
        <v>31</v>
      </c>
      <c r="G356" s="2" t="s">
        <v>70</v>
      </c>
      <c r="H356" s="2" t="s">
        <v>33</v>
      </c>
      <c r="I356" s="2" t="s">
        <v>19</v>
      </c>
      <c r="J356" s="3">
        <v>1780</v>
      </c>
      <c r="K356" s="5" t="s">
        <v>909</v>
      </c>
    </row>
    <row r="357" spans="1:11" ht="15.5" thickTop="1" thickBot="1" x14ac:dyDescent="0.4">
      <c r="A357" s="4" t="s">
        <v>11</v>
      </c>
      <c r="B357" s="2" t="s">
        <v>12</v>
      </c>
      <c r="C357" s="2" t="s">
        <v>28</v>
      </c>
      <c r="D357" s="2" t="s">
        <v>910</v>
      </c>
      <c r="E357" s="2" t="s">
        <v>755</v>
      </c>
      <c r="F357" s="2" t="s">
        <v>95</v>
      </c>
      <c r="G357" s="2" t="s">
        <v>70</v>
      </c>
      <c r="H357" s="2" t="s">
        <v>44</v>
      </c>
      <c r="I357" s="2" t="s">
        <v>45</v>
      </c>
      <c r="J357" s="2">
        <v>700</v>
      </c>
      <c r="K357" s="5" t="s">
        <v>911</v>
      </c>
    </row>
    <row r="358" spans="1:11" ht="15.5" hidden="1" thickTop="1" thickBot="1" x14ac:dyDescent="0.4">
      <c r="A358" s="4" t="s">
        <v>11</v>
      </c>
      <c r="B358" s="2" t="s">
        <v>12</v>
      </c>
      <c r="C358" s="2" t="s">
        <v>13</v>
      </c>
      <c r="D358" s="2" t="s">
        <v>912</v>
      </c>
      <c r="E358" s="2" t="s">
        <v>189</v>
      </c>
      <c r="F358" s="2" t="s">
        <v>24</v>
      </c>
      <c r="G358" s="2" t="s">
        <v>50</v>
      </c>
      <c r="H358" s="2" t="s">
        <v>18</v>
      </c>
      <c r="I358" s="2" t="s">
        <v>19</v>
      </c>
      <c r="J358" s="3">
        <v>1800</v>
      </c>
      <c r="K358" s="5" t="s">
        <v>913</v>
      </c>
    </row>
    <row r="359" spans="1:11" ht="15.5" thickTop="1" thickBot="1" x14ac:dyDescent="0.4">
      <c r="A359" s="4" t="s">
        <v>11</v>
      </c>
      <c r="B359" s="2" t="s">
        <v>12</v>
      </c>
      <c r="C359" s="2" t="s">
        <v>28</v>
      </c>
      <c r="D359" s="2" t="s">
        <v>914</v>
      </c>
      <c r="E359" s="2" t="s">
        <v>915</v>
      </c>
      <c r="F359" s="2" t="s">
        <v>179</v>
      </c>
      <c r="G359" s="2" t="s">
        <v>916</v>
      </c>
      <c r="H359" s="2" t="s">
        <v>44</v>
      </c>
      <c r="I359" s="2" t="s">
        <v>19</v>
      </c>
      <c r="J359" s="3">
        <v>3780</v>
      </c>
      <c r="K359" s="5" t="s">
        <v>917</v>
      </c>
    </row>
    <row r="360" spans="1:11" ht="15.5" hidden="1" thickTop="1" thickBot="1" x14ac:dyDescent="0.4">
      <c r="A360" s="4" t="s">
        <v>11</v>
      </c>
      <c r="B360" s="2" t="s">
        <v>75</v>
      </c>
      <c r="C360" s="2" t="s">
        <v>28</v>
      </c>
      <c r="D360" s="2" t="s">
        <v>918</v>
      </c>
      <c r="E360" s="2" t="s">
        <v>919</v>
      </c>
      <c r="F360" s="2" t="s">
        <v>279</v>
      </c>
      <c r="G360" s="2" t="s">
        <v>70</v>
      </c>
      <c r="H360" s="2" t="s">
        <v>33</v>
      </c>
      <c r="I360" s="2" t="s">
        <v>45</v>
      </c>
      <c r="J360" s="2">
        <v>300</v>
      </c>
      <c r="K360" s="5" t="s">
        <v>920</v>
      </c>
    </row>
    <row r="361" spans="1:11" ht="15.5" hidden="1" thickTop="1" thickBot="1" x14ac:dyDescent="0.4">
      <c r="A361" s="4" t="s">
        <v>11</v>
      </c>
      <c r="B361" s="2" t="s">
        <v>12</v>
      </c>
      <c r="C361" s="2" t="s">
        <v>28</v>
      </c>
      <c r="D361" s="2" t="s">
        <v>921</v>
      </c>
      <c r="E361" s="2" t="s">
        <v>167</v>
      </c>
      <c r="F361" s="2" t="s">
        <v>146</v>
      </c>
      <c r="G361" s="2" t="s">
        <v>922</v>
      </c>
      <c r="H361" s="2" t="s">
        <v>33</v>
      </c>
      <c r="I361" s="2" t="s">
        <v>45</v>
      </c>
      <c r="J361" s="2">
        <v>90</v>
      </c>
      <c r="K361" s="5" t="s">
        <v>89</v>
      </c>
    </row>
    <row r="362" spans="1:11" ht="15.5" hidden="1" thickTop="1" thickBot="1" x14ac:dyDescent="0.4">
      <c r="A362" s="4" t="s">
        <v>11</v>
      </c>
      <c r="B362" s="2" t="s">
        <v>75</v>
      </c>
      <c r="C362" s="2" t="s">
        <v>28</v>
      </c>
      <c r="D362" s="2" t="s">
        <v>923</v>
      </c>
      <c r="E362" s="2" t="s">
        <v>432</v>
      </c>
      <c r="F362" s="2" t="s">
        <v>179</v>
      </c>
      <c r="G362" s="2" t="s">
        <v>924</v>
      </c>
      <c r="H362" s="2" t="s">
        <v>88</v>
      </c>
      <c r="I362" s="2" t="s">
        <v>19</v>
      </c>
      <c r="J362" s="3">
        <v>2320</v>
      </c>
      <c r="K362" s="5" t="s">
        <v>46</v>
      </c>
    </row>
    <row r="363" spans="1:11" ht="15.5" thickTop="1" thickBot="1" x14ac:dyDescent="0.4">
      <c r="A363" s="4" t="s">
        <v>11</v>
      </c>
      <c r="B363" s="2" t="s">
        <v>12</v>
      </c>
      <c r="C363" s="2" t="s">
        <v>63</v>
      </c>
      <c r="D363" s="2" t="s">
        <v>925</v>
      </c>
      <c r="E363" s="2" t="s">
        <v>178</v>
      </c>
      <c r="F363" s="2" t="s">
        <v>95</v>
      </c>
      <c r="G363" s="2" t="s">
        <v>401</v>
      </c>
      <c r="H363" s="2" t="s">
        <v>44</v>
      </c>
      <c r="I363" s="2" t="s">
        <v>45</v>
      </c>
      <c r="J363" s="2">
        <v>226</v>
      </c>
      <c r="K363" s="5" t="s">
        <v>446</v>
      </c>
    </row>
    <row r="364" spans="1:11" ht="15.5" hidden="1" thickTop="1" thickBot="1" x14ac:dyDescent="0.4">
      <c r="A364" s="4" t="s">
        <v>11</v>
      </c>
      <c r="B364" s="2" t="s">
        <v>12</v>
      </c>
      <c r="C364" s="2" t="s">
        <v>28</v>
      </c>
      <c r="D364" s="2" t="s">
        <v>926</v>
      </c>
      <c r="E364" s="2" t="s">
        <v>167</v>
      </c>
      <c r="F364" s="2" t="s">
        <v>31</v>
      </c>
      <c r="G364" s="2" t="s">
        <v>395</v>
      </c>
      <c r="H364" s="2" t="s">
        <v>33</v>
      </c>
      <c r="I364" s="2" t="s">
        <v>19</v>
      </c>
      <c r="J364" s="3">
        <v>34020</v>
      </c>
      <c r="K364" s="5" t="s">
        <v>927</v>
      </c>
    </row>
    <row r="365" spans="1:11" ht="15.5" hidden="1" thickTop="1" thickBot="1" x14ac:dyDescent="0.4">
      <c r="A365" s="4" t="s">
        <v>11</v>
      </c>
      <c r="B365" s="2" t="s">
        <v>12</v>
      </c>
      <c r="C365" s="2" t="s">
        <v>28</v>
      </c>
      <c r="D365" s="2" t="s">
        <v>928</v>
      </c>
      <c r="E365" s="2" t="s">
        <v>929</v>
      </c>
      <c r="F365" s="2" t="s">
        <v>31</v>
      </c>
      <c r="G365" s="2" t="s">
        <v>930</v>
      </c>
      <c r="H365" s="2" t="s">
        <v>18</v>
      </c>
      <c r="I365" s="2" t="s">
        <v>45</v>
      </c>
      <c r="J365" s="3">
        <v>70060</v>
      </c>
      <c r="K365" s="5" t="s">
        <v>931</v>
      </c>
    </row>
    <row r="366" spans="1:11" ht="15.5" hidden="1" thickTop="1" thickBot="1" x14ac:dyDescent="0.4">
      <c r="A366" s="4" t="s">
        <v>11</v>
      </c>
      <c r="B366" s="2" t="s">
        <v>12</v>
      </c>
      <c r="C366" s="2" t="s">
        <v>28</v>
      </c>
      <c r="D366" s="2" t="s">
        <v>932</v>
      </c>
      <c r="E366" s="2" t="s">
        <v>933</v>
      </c>
      <c r="F366" s="2" t="s">
        <v>141</v>
      </c>
      <c r="G366" s="2" t="s">
        <v>50</v>
      </c>
      <c r="H366" s="2" t="s">
        <v>33</v>
      </c>
      <c r="I366" s="2" t="s">
        <v>19</v>
      </c>
      <c r="J366" s="3">
        <v>26670</v>
      </c>
      <c r="K366" s="5" t="s">
        <v>934</v>
      </c>
    </row>
    <row r="367" spans="1:11" ht="15.5" thickTop="1" thickBot="1" x14ac:dyDescent="0.4">
      <c r="A367" s="4" t="s">
        <v>11</v>
      </c>
      <c r="B367" s="2" t="s">
        <v>12</v>
      </c>
      <c r="C367" s="2" t="s">
        <v>28</v>
      </c>
      <c r="D367" s="2" t="s">
        <v>754</v>
      </c>
      <c r="E367" s="2" t="s">
        <v>48</v>
      </c>
      <c r="F367" s="2" t="s">
        <v>306</v>
      </c>
      <c r="G367" s="2" t="s">
        <v>67</v>
      </c>
      <c r="H367" s="2" t="s">
        <v>44</v>
      </c>
      <c r="I367" s="2" t="s">
        <v>19</v>
      </c>
      <c r="J367" s="3">
        <v>3060</v>
      </c>
      <c r="K367" s="5" t="s">
        <v>935</v>
      </c>
    </row>
    <row r="368" spans="1:11" ht="15.5" hidden="1" thickTop="1" thickBot="1" x14ac:dyDescent="0.4">
      <c r="A368" s="4" t="s">
        <v>57</v>
      </c>
      <c r="B368" s="2" t="s">
        <v>75</v>
      </c>
      <c r="C368" s="2" t="s">
        <v>13</v>
      </c>
      <c r="D368" s="2" t="s">
        <v>936</v>
      </c>
      <c r="E368" s="2" t="s">
        <v>13</v>
      </c>
      <c r="F368" s="2" t="s">
        <v>201</v>
      </c>
      <c r="G368" s="2" t="s">
        <v>70</v>
      </c>
      <c r="H368" s="2" t="s">
        <v>116</v>
      </c>
      <c r="I368" s="2" t="s">
        <v>45</v>
      </c>
      <c r="J368" s="3">
        <v>1910</v>
      </c>
      <c r="K368" s="5" t="s">
        <v>46</v>
      </c>
    </row>
    <row r="369" spans="1:11" ht="15.5" hidden="1" thickTop="1" thickBot="1" x14ac:dyDescent="0.4">
      <c r="A369" s="4" t="s">
        <v>11</v>
      </c>
      <c r="B369" s="2" t="s">
        <v>12</v>
      </c>
      <c r="C369" s="2" t="s">
        <v>13</v>
      </c>
      <c r="D369" s="2" t="s">
        <v>272</v>
      </c>
      <c r="E369" s="2" t="s">
        <v>937</v>
      </c>
      <c r="F369" s="2" t="s">
        <v>69</v>
      </c>
      <c r="G369" s="2" t="s">
        <v>38</v>
      </c>
      <c r="H369" s="2" t="s">
        <v>33</v>
      </c>
      <c r="I369" s="2" t="s">
        <v>19</v>
      </c>
      <c r="J369" s="3">
        <v>2760</v>
      </c>
      <c r="K369" s="5" t="s">
        <v>46</v>
      </c>
    </row>
    <row r="370" spans="1:11" ht="15.5" hidden="1" thickTop="1" thickBot="1" x14ac:dyDescent="0.4">
      <c r="A370" s="4" t="s">
        <v>11</v>
      </c>
      <c r="B370" s="2" t="s">
        <v>12</v>
      </c>
      <c r="C370" s="2" t="s">
        <v>28</v>
      </c>
      <c r="D370" s="2" t="s">
        <v>938</v>
      </c>
      <c r="E370" s="2" t="s">
        <v>939</v>
      </c>
      <c r="F370" s="2" t="s">
        <v>225</v>
      </c>
      <c r="G370" s="2" t="s">
        <v>940</v>
      </c>
      <c r="H370" s="2" t="s">
        <v>33</v>
      </c>
      <c r="I370" s="2" t="s">
        <v>45</v>
      </c>
      <c r="J370" s="3">
        <v>25090</v>
      </c>
      <c r="K370" s="5" t="s">
        <v>941</v>
      </c>
    </row>
    <row r="371" spans="1:11" ht="15.5" hidden="1" thickTop="1" thickBot="1" x14ac:dyDescent="0.4">
      <c r="A371" s="4" t="s">
        <v>11</v>
      </c>
      <c r="B371" s="2" t="s">
        <v>12</v>
      </c>
      <c r="C371" s="2" t="s">
        <v>28</v>
      </c>
      <c r="D371" s="2" t="s">
        <v>942</v>
      </c>
      <c r="E371" s="2" t="s">
        <v>943</v>
      </c>
      <c r="F371" s="2" t="s">
        <v>279</v>
      </c>
      <c r="G371" s="2" t="s">
        <v>891</v>
      </c>
      <c r="H371" s="2" t="s">
        <v>88</v>
      </c>
      <c r="I371" s="2" t="s">
        <v>45</v>
      </c>
      <c r="J371" s="3">
        <v>5674</v>
      </c>
      <c r="K371" s="5" t="s">
        <v>944</v>
      </c>
    </row>
    <row r="372" spans="1:11" ht="15.5" hidden="1" thickTop="1" thickBot="1" x14ac:dyDescent="0.4">
      <c r="A372" s="4" t="s">
        <v>11</v>
      </c>
      <c r="B372" s="2" t="s">
        <v>12</v>
      </c>
      <c r="C372" s="2" t="s">
        <v>28</v>
      </c>
      <c r="D372" s="2" t="s">
        <v>945</v>
      </c>
      <c r="E372" s="2" t="s">
        <v>946</v>
      </c>
      <c r="F372" s="2" t="s">
        <v>31</v>
      </c>
      <c r="G372" s="2" t="s">
        <v>43</v>
      </c>
      <c r="H372" s="2" t="s">
        <v>33</v>
      </c>
      <c r="I372" s="2" t="s">
        <v>19</v>
      </c>
      <c r="J372" s="3">
        <v>96050</v>
      </c>
      <c r="K372" s="5" t="s">
        <v>187</v>
      </c>
    </row>
    <row r="373" spans="1:11" ht="15.5" hidden="1" thickTop="1" thickBot="1" x14ac:dyDescent="0.4">
      <c r="A373" s="4" t="s">
        <v>11</v>
      </c>
      <c r="B373" s="2" t="s">
        <v>12</v>
      </c>
      <c r="C373" s="2" t="s">
        <v>13</v>
      </c>
      <c r="D373" s="2" t="s">
        <v>947</v>
      </c>
      <c r="E373" s="2" t="s">
        <v>948</v>
      </c>
      <c r="F373" s="2" t="s">
        <v>350</v>
      </c>
      <c r="G373" s="2" t="s">
        <v>949</v>
      </c>
      <c r="H373" s="2" t="s">
        <v>26</v>
      </c>
      <c r="I373" s="2" t="s">
        <v>45</v>
      </c>
      <c r="J373" s="2">
        <v>300</v>
      </c>
      <c r="K373" s="5" t="s">
        <v>46</v>
      </c>
    </row>
    <row r="374" spans="1:11" ht="15.5" hidden="1" thickTop="1" thickBot="1" x14ac:dyDescent="0.4">
      <c r="A374" s="4" t="s">
        <v>11</v>
      </c>
      <c r="B374" s="2" t="s">
        <v>12</v>
      </c>
      <c r="C374" s="2" t="s">
        <v>13</v>
      </c>
      <c r="D374" s="2" t="s">
        <v>950</v>
      </c>
      <c r="E374" s="2" t="s">
        <v>859</v>
      </c>
      <c r="F374" s="2" t="s">
        <v>95</v>
      </c>
      <c r="G374" s="2" t="s">
        <v>951</v>
      </c>
      <c r="H374" s="2" t="s">
        <v>33</v>
      </c>
      <c r="I374" s="2" t="s">
        <v>45</v>
      </c>
      <c r="J374" s="3">
        <v>5780</v>
      </c>
      <c r="K374" s="5" t="s">
        <v>952</v>
      </c>
    </row>
    <row r="375" spans="1:11" ht="15.5" hidden="1" thickTop="1" thickBot="1" x14ac:dyDescent="0.4">
      <c r="A375" s="4" t="s">
        <v>11</v>
      </c>
      <c r="B375" s="2" t="s">
        <v>12</v>
      </c>
      <c r="C375" s="2" t="s">
        <v>13</v>
      </c>
      <c r="D375" s="2" t="s">
        <v>953</v>
      </c>
      <c r="E375" s="2" t="s">
        <v>145</v>
      </c>
      <c r="F375" s="2" t="s">
        <v>760</v>
      </c>
      <c r="G375" s="2" t="s">
        <v>147</v>
      </c>
      <c r="H375" s="2" t="s">
        <v>18</v>
      </c>
      <c r="I375" s="2" t="s">
        <v>19</v>
      </c>
      <c r="J375" s="3">
        <v>74020</v>
      </c>
      <c r="K375" s="5" t="s">
        <v>954</v>
      </c>
    </row>
    <row r="376" spans="1:11" ht="15.5" hidden="1" thickTop="1" thickBot="1" x14ac:dyDescent="0.4">
      <c r="A376" s="4" t="s">
        <v>11</v>
      </c>
      <c r="B376" s="2" t="s">
        <v>12</v>
      </c>
      <c r="C376" s="2" t="s">
        <v>28</v>
      </c>
      <c r="D376" s="2" t="s">
        <v>955</v>
      </c>
      <c r="E376" s="2" t="s">
        <v>257</v>
      </c>
      <c r="F376" s="2" t="s">
        <v>179</v>
      </c>
      <c r="G376" s="2" t="s">
        <v>783</v>
      </c>
      <c r="H376" s="2" t="s">
        <v>56</v>
      </c>
      <c r="I376" s="2" t="s">
        <v>45</v>
      </c>
      <c r="J376" s="3">
        <v>12609</v>
      </c>
      <c r="K376" s="5" t="s">
        <v>62</v>
      </c>
    </row>
    <row r="377" spans="1:11" ht="15.5" hidden="1" thickTop="1" thickBot="1" x14ac:dyDescent="0.4">
      <c r="A377" s="4" t="s">
        <v>11</v>
      </c>
      <c r="B377" s="2" t="s">
        <v>12</v>
      </c>
      <c r="C377" s="2" t="s">
        <v>28</v>
      </c>
      <c r="D377" s="2" t="s">
        <v>956</v>
      </c>
      <c r="E377" s="2" t="s">
        <v>957</v>
      </c>
      <c r="F377" s="2" t="s">
        <v>179</v>
      </c>
      <c r="G377" s="2" t="s">
        <v>855</v>
      </c>
      <c r="H377" s="2" t="s">
        <v>33</v>
      </c>
      <c r="I377" s="2" t="s">
        <v>45</v>
      </c>
      <c r="J377" s="3">
        <v>3550</v>
      </c>
      <c r="K377" s="5" t="s">
        <v>958</v>
      </c>
    </row>
    <row r="378" spans="1:11" ht="15.5" hidden="1" thickTop="1" thickBot="1" x14ac:dyDescent="0.4">
      <c r="A378" s="4" t="s">
        <v>11</v>
      </c>
      <c r="B378" s="2" t="s">
        <v>12</v>
      </c>
      <c r="C378" s="2" t="s">
        <v>28</v>
      </c>
      <c r="D378" s="2" t="s">
        <v>959</v>
      </c>
      <c r="E378" s="2" t="s">
        <v>960</v>
      </c>
      <c r="F378" s="2" t="s">
        <v>31</v>
      </c>
      <c r="G378" s="2" t="s">
        <v>574</v>
      </c>
      <c r="H378" s="2" t="s">
        <v>33</v>
      </c>
      <c r="I378" s="2" t="s">
        <v>45</v>
      </c>
      <c r="J378" s="2">
        <v>150</v>
      </c>
      <c r="K378" s="5" t="s">
        <v>143</v>
      </c>
    </row>
    <row r="379" spans="1:11" ht="15.5" hidden="1" thickTop="1" thickBot="1" x14ac:dyDescent="0.4">
      <c r="A379" s="4" t="s">
        <v>11</v>
      </c>
      <c r="B379" s="2" t="s">
        <v>12</v>
      </c>
      <c r="C379" s="2" t="s">
        <v>28</v>
      </c>
      <c r="D379" s="2" t="s">
        <v>961</v>
      </c>
      <c r="E379" s="2" t="s">
        <v>119</v>
      </c>
      <c r="F379" s="2" t="s">
        <v>31</v>
      </c>
      <c r="G379" s="2" t="s">
        <v>111</v>
      </c>
      <c r="H379" s="2" t="s">
        <v>18</v>
      </c>
      <c r="I379" s="2" t="s">
        <v>19</v>
      </c>
      <c r="J379" s="3">
        <v>20600</v>
      </c>
      <c r="K379" s="5" t="s">
        <v>962</v>
      </c>
    </row>
    <row r="380" spans="1:11" ht="15.5" hidden="1" thickTop="1" thickBot="1" x14ac:dyDescent="0.4">
      <c r="A380" s="4" t="s">
        <v>11</v>
      </c>
      <c r="B380" s="2" t="s">
        <v>12</v>
      </c>
      <c r="C380" s="2" t="s">
        <v>28</v>
      </c>
      <c r="D380" s="2" t="s">
        <v>963</v>
      </c>
      <c r="E380" s="2" t="s">
        <v>648</v>
      </c>
      <c r="F380" s="2" t="s">
        <v>141</v>
      </c>
      <c r="G380" s="2" t="s">
        <v>50</v>
      </c>
      <c r="H380" s="2" t="s">
        <v>33</v>
      </c>
      <c r="I380" s="2" t="s">
        <v>19</v>
      </c>
      <c r="J380" s="3">
        <v>10040</v>
      </c>
      <c r="K380" s="5" t="s">
        <v>964</v>
      </c>
    </row>
    <row r="381" spans="1:11" ht="15.5" hidden="1" thickTop="1" thickBot="1" x14ac:dyDescent="0.4">
      <c r="A381" s="4" t="s">
        <v>11</v>
      </c>
      <c r="B381" s="2" t="s">
        <v>12</v>
      </c>
      <c r="C381" s="2" t="s">
        <v>28</v>
      </c>
      <c r="D381" s="2" t="s">
        <v>965</v>
      </c>
      <c r="E381" s="2" t="s">
        <v>966</v>
      </c>
      <c r="F381" s="2" t="s">
        <v>31</v>
      </c>
      <c r="G381" s="2" t="s">
        <v>967</v>
      </c>
      <c r="H381" s="2" t="s">
        <v>33</v>
      </c>
      <c r="I381" s="2" t="s">
        <v>19</v>
      </c>
      <c r="J381" s="3">
        <v>2550</v>
      </c>
      <c r="K381" s="5" t="s">
        <v>968</v>
      </c>
    </row>
    <row r="382" spans="1:11" ht="15.5" hidden="1" thickTop="1" thickBot="1" x14ac:dyDescent="0.4">
      <c r="A382" s="4" t="s">
        <v>11</v>
      </c>
      <c r="B382" s="2" t="s">
        <v>12</v>
      </c>
      <c r="C382" s="2" t="s">
        <v>13</v>
      </c>
      <c r="D382" s="2" t="s">
        <v>969</v>
      </c>
      <c r="E382" s="2" t="s">
        <v>812</v>
      </c>
      <c r="F382" s="2" t="s">
        <v>141</v>
      </c>
      <c r="G382" s="2" t="s">
        <v>168</v>
      </c>
      <c r="H382" s="2" t="s">
        <v>88</v>
      </c>
      <c r="I382" s="2" t="s">
        <v>45</v>
      </c>
      <c r="J382" s="3">
        <v>1570</v>
      </c>
      <c r="K382" s="5" t="s">
        <v>970</v>
      </c>
    </row>
    <row r="383" spans="1:11" ht="15.5" hidden="1" thickTop="1" thickBot="1" x14ac:dyDescent="0.4">
      <c r="A383" s="4" t="s">
        <v>11</v>
      </c>
      <c r="B383" s="2" t="s">
        <v>12</v>
      </c>
      <c r="C383" s="2" t="s">
        <v>28</v>
      </c>
      <c r="D383" s="2" t="s">
        <v>382</v>
      </c>
      <c r="E383" s="2" t="s">
        <v>971</v>
      </c>
      <c r="F383" s="2" t="s">
        <v>49</v>
      </c>
      <c r="G383" s="2" t="s">
        <v>384</v>
      </c>
      <c r="H383" s="2" t="s">
        <v>56</v>
      </c>
      <c r="I383" s="2" t="s">
        <v>45</v>
      </c>
      <c r="J383" s="3">
        <v>9260</v>
      </c>
      <c r="K383" s="5" t="s">
        <v>62</v>
      </c>
    </row>
    <row r="384" spans="1:11" ht="15.5" hidden="1" thickTop="1" thickBot="1" x14ac:dyDescent="0.4">
      <c r="A384" s="4" t="s">
        <v>11</v>
      </c>
      <c r="B384" s="2" t="s">
        <v>75</v>
      </c>
      <c r="C384" s="2" t="s">
        <v>28</v>
      </c>
      <c r="D384" s="2" t="s">
        <v>959</v>
      </c>
      <c r="E384" s="2" t="s">
        <v>233</v>
      </c>
      <c r="F384" s="2" t="s">
        <v>31</v>
      </c>
      <c r="G384" s="2" t="s">
        <v>574</v>
      </c>
      <c r="H384" s="2" t="s">
        <v>33</v>
      </c>
      <c r="I384" s="2" t="s">
        <v>45</v>
      </c>
      <c r="J384" s="2">
        <v>150</v>
      </c>
      <c r="K384" s="5" t="s">
        <v>143</v>
      </c>
    </row>
    <row r="385" spans="1:11" ht="15.5" hidden="1" thickTop="1" thickBot="1" x14ac:dyDescent="0.4">
      <c r="A385" s="4" t="s">
        <v>11</v>
      </c>
      <c r="B385" s="2" t="s">
        <v>12</v>
      </c>
      <c r="C385" s="2" t="s">
        <v>13</v>
      </c>
      <c r="D385" s="2" t="s">
        <v>845</v>
      </c>
      <c r="E385" s="2" t="s">
        <v>13</v>
      </c>
      <c r="F385" s="2" t="s">
        <v>104</v>
      </c>
      <c r="G385" s="2" t="s">
        <v>32</v>
      </c>
      <c r="H385" s="2" t="s">
        <v>33</v>
      </c>
      <c r="I385" s="2" t="s">
        <v>45</v>
      </c>
      <c r="J385" s="2">
        <v>600</v>
      </c>
      <c r="K385" s="5" t="s">
        <v>46</v>
      </c>
    </row>
    <row r="386" spans="1:11" ht="15.5" hidden="1" thickTop="1" thickBot="1" x14ac:dyDescent="0.4">
      <c r="A386" s="4" t="s">
        <v>11</v>
      </c>
      <c r="B386" s="2" t="s">
        <v>75</v>
      </c>
      <c r="C386" s="2" t="s">
        <v>28</v>
      </c>
      <c r="D386" s="2" t="s">
        <v>972</v>
      </c>
      <c r="E386" s="2" t="s">
        <v>41</v>
      </c>
      <c r="F386" s="2" t="s">
        <v>95</v>
      </c>
      <c r="G386" s="2" t="s">
        <v>973</v>
      </c>
      <c r="H386" s="2" t="s">
        <v>33</v>
      </c>
      <c r="I386" s="2" t="s">
        <v>19</v>
      </c>
      <c r="J386" s="3">
        <v>2270</v>
      </c>
      <c r="K386" s="5" t="s">
        <v>46</v>
      </c>
    </row>
    <row r="387" spans="1:11" ht="15.5" hidden="1" thickTop="1" thickBot="1" x14ac:dyDescent="0.4">
      <c r="A387" s="4" t="s">
        <v>11</v>
      </c>
      <c r="B387" s="2" t="s">
        <v>21</v>
      </c>
      <c r="C387" s="2" t="s">
        <v>13</v>
      </c>
      <c r="D387" s="2" t="s">
        <v>974</v>
      </c>
      <c r="E387" s="2" t="s">
        <v>812</v>
      </c>
      <c r="F387" s="2" t="s">
        <v>60</v>
      </c>
      <c r="G387" s="2" t="s">
        <v>505</v>
      </c>
      <c r="H387" s="2" t="s">
        <v>231</v>
      </c>
      <c r="I387" s="2" t="s">
        <v>45</v>
      </c>
      <c r="J387" s="3">
        <v>1260</v>
      </c>
      <c r="K387" s="5" t="s">
        <v>46</v>
      </c>
    </row>
    <row r="388" spans="1:11" ht="15.5" hidden="1" thickTop="1" thickBot="1" x14ac:dyDescent="0.4">
      <c r="A388" s="4" t="s">
        <v>11</v>
      </c>
      <c r="B388" s="2" t="s">
        <v>12</v>
      </c>
      <c r="C388" s="2" t="s">
        <v>28</v>
      </c>
      <c r="D388" s="2" t="s">
        <v>975</v>
      </c>
      <c r="E388" s="2" t="s">
        <v>122</v>
      </c>
      <c r="F388" s="2" t="s">
        <v>225</v>
      </c>
      <c r="G388" s="2" t="s">
        <v>70</v>
      </c>
      <c r="H388" s="2" t="s">
        <v>18</v>
      </c>
      <c r="I388" s="2" t="s">
        <v>19</v>
      </c>
      <c r="J388" s="3">
        <v>117030</v>
      </c>
      <c r="K388" s="5" t="s">
        <v>976</v>
      </c>
    </row>
    <row r="389" spans="1:11" ht="15.5" hidden="1" thickTop="1" thickBot="1" x14ac:dyDescent="0.4">
      <c r="A389" s="4" t="s">
        <v>11</v>
      </c>
      <c r="B389" s="2" t="s">
        <v>12</v>
      </c>
      <c r="C389" s="2" t="s">
        <v>13</v>
      </c>
      <c r="D389" s="2" t="s">
        <v>977</v>
      </c>
      <c r="E389" s="2" t="s">
        <v>859</v>
      </c>
      <c r="F389" s="2" t="s">
        <v>141</v>
      </c>
      <c r="G389" s="2" t="s">
        <v>50</v>
      </c>
      <c r="H389" s="2" t="s">
        <v>56</v>
      </c>
      <c r="I389" s="2" t="s">
        <v>45</v>
      </c>
      <c r="J389" s="3">
        <v>3510</v>
      </c>
      <c r="K389" s="5" t="s">
        <v>978</v>
      </c>
    </row>
    <row r="390" spans="1:11" ht="15.5" thickTop="1" thickBot="1" x14ac:dyDescent="0.4">
      <c r="A390" s="4" t="s">
        <v>11</v>
      </c>
      <c r="B390" s="2" t="s">
        <v>52</v>
      </c>
      <c r="C390" s="2" t="s">
        <v>28</v>
      </c>
      <c r="D390" s="2" t="s">
        <v>979</v>
      </c>
      <c r="E390" s="2" t="s">
        <v>182</v>
      </c>
      <c r="F390" s="2" t="s">
        <v>66</v>
      </c>
      <c r="G390" s="2" t="s">
        <v>183</v>
      </c>
      <c r="H390" s="2" t="s">
        <v>44</v>
      </c>
      <c r="I390" s="2" t="s">
        <v>45</v>
      </c>
      <c r="J390" s="2">
        <v>600</v>
      </c>
      <c r="K390" s="5" t="s">
        <v>980</v>
      </c>
    </row>
    <row r="391" spans="1:11" ht="15.5" hidden="1" thickTop="1" thickBot="1" x14ac:dyDescent="0.4">
      <c r="A391" s="4" t="s">
        <v>11</v>
      </c>
      <c r="B391" s="2" t="s">
        <v>12</v>
      </c>
      <c r="C391" s="2" t="s">
        <v>13</v>
      </c>
      <c r="D391" s="2" t="s">
        <v>889</v>
      </c>
      <c r="E391" s="2" t="s">
        <v>890</v>
      </c>
      <c r="F391" s="2" t="s">
        <v>31</v>
      </c>
      <c r="G391" s="2" t="s">
        <v>891</v>
      </c>
      <c r="H391" s="2" t="s">
        <v>33</v>
      </c>
      <c r="I391" s="2" t="s">
        <v>45</v>
      </c>
      <c r="J391" s="2">
        <v>150</v>
      </c>
      <c r="K391" s="5" t="s">
        <v>46</v>
      </c>
    </row>
    <row r="392" spans="1:11" ht="15.5" thickTop="1" thickBot="1" x14ac:dyDescent="0.4">
      <c r="A392" s="4" t="s">
        <v>11</v>
      </c>
      <c r="B392" s="2" t="s">
        <v>12</v>
      </c>
      <c r="C392" s="2" t="s">
        <v>28</v>
      </c>
      <c r="D392" s="2" t="s">
        <v>910</v>
      </c>
      <c r="E392" s="2" t="s">
        <v>421</v>
      </c>
      <c r="F392" s="2" t="s">
        <v>95</v>
      </c>
      <c r="G392" s="2" t="s">
        <v>70</v>
      </c>
      <c r="H392" s="2" t="s">
        <v>44</v>
      </c>
      <c r="I392" s="2" t="s">
        <v>45</v>
      </c>
      <c r="J392" s="2">
        <v>700</v>
      </c>
      <c r="K392" s="5" t="s">
        <v>911</v>
      </c>
    </row>
    <row r="393" spans="1:11" ht="15.5" hidden="1" thickTop="1" thickBot="1" x14ac:dyDescent="0.4">
      <c r="A393" s="4" t="s">
        <v>11</v>
      </c>
      <c r="B393" s="2" t="s">
        <v>12</v>
      </c>
      <c r="C393" s="2" t="s">
        <v>63</v>
      </c>
      <c r="D393" s="2" t="s">
        <v>981</v>
      </c>
      <c r="E393" s="2" t="s">
        <v>982</v>
      </c>
      <c r="F393" s="2" t="s">
        <v>95</v>
      </c>
      <c r="G393" s="2" t="s">
        <v>183</v>
      </c>
      <c r="H393" s="2" t="s">
        <v>33</v>
      </c>
      <c r="I393" s="2" t="s">
        <v>45</v>
      </c>
      <c r="J393" s="2">
        <v>210</v>
      </c>
      <c r="K393" s="5" t="s">
        <v>46</v>
      </c>
    </row>
    <row r="394" spans="1:11" ht="15.5" hidden="1" thickTop="1" thickBot="1" x14ac:dyDescent="0.4">
      <c r="A394" s="4" t="s">
        <v>11</v>
      </c>
      <c r="B394" s="2" t="s">
        <v>12</v>
      </c>
      <c r="C394" s="2" t="s">
        <v>63</v>
      </c>
      <c r="D394" s="2" t="s">
        <v>983</v>
      </c>
      <c r="E394" s="2" t="s">
        <v>321</v>
      </c>
      <c r="F394" s="2" t="s">
        <v>141</v>
      </c>
      <c r="G394" s="2" t="s">
        <v>984</v>
      </c>
      <c r="H394" s="2" t="s">
        <v>88</v>
      </c>
      <c r="I394" s="2" t="s">
        <v>45</v>
      </c>
      <c r="J394" s="3">
        <v>120010</v>
      </c>
      <c r="K394" s="5" t="s">
        <v>985</v>
      </c>
    </row>
    <row r="395" spans="1:11" ht="15.5" hidden="1" thickTop="1" thickBot="1" x14ac:dyDescent="0.4">
      <c r="A395" s="4" t="s">
        <v>11</v>
      </c>
      <c r="B395" s="2" t="s">
        <v>21</v>
      </c>
      <c r="C395" s="2" t="s">
        <v>28</v>
      </c>
      <c r="D395" s="2" t="s">
        <v>123</v>
      </c>
      <c r="E395" s="2" t="s">
        <v>986</v>
      </c>
      <c r="F395" s="2" t="s">
        <v>141</v>
      </c>
      <c r="G395" s="2" t="s">
        <v>124</v>
      </c>
      <c r="H395" s="2" t="s">
        <v>33</v>
      </c>
      <c r="I395" s="2" t="s">
        <v>19</v>
      </c>
      <c r="J395" s="3">
        <v>222040</v>
      </c>
      <c r="K395" s="5" t="s">
        <v>125</v>
      </c>
    </row>
    <row r="396" spans="1:11" ht="15.5" hidden="1" thickTop="1" thickBot="1" x14ac:dyDescent="0.4">
      <c r="A396" s="4" t="s">
        <v>11</v>
      </c>
      <c r="B396" s="2" t="s">
        <v>12</v>
      </c>
      <c r="C396" s="2" t="s">
        <v>13</v>
      </c>
      <c r="D396" s="2" t="s">
        <v>987</v>
      </c>
      <c r="E396" s="2" t="s">
        <v>988</v>
      </c>
      <c r="F396" s="2" t="s">
        <v>31</v>
      </c>
      <c r="G396" s="2" t="s">
        <v>78</v>
      </c>
      <c r="H396" s="2" t="s">
        <v>33</v>
      </c>
      <c r="I396" s="2" t="s">
        <v>45</v>
      </c>
      <c r="J396" s="2">
        <v>98</v>
      </c>
      <c r="K396" s="5" t="s">
        <v>46</v>
      </c>
    </row>
    <row r="397" spans="1:11" ht="15.5" hidden="1" thickTop="1" thickBot="1" x14ac:dyDescent="0.4">
      <c r="A397" s="4" t="s">
        <v>57</v>
      </c>
      <c r="B397" s="2" t="s">
        <v>12</v>
      </c>
      <c r="C397" s="2" t="s">
        <v>28</v>
      </c>
      <c r="D397" s="2" t="s">
        <v>157</v>
      </c>
      <c r="E397" s="2" t="s">
        <v>119</v>
      </c>
      <c r="F397" s="2" t="s">
        <v>31</v>
      </c>
      <c r="G397" s="2" t="s">
        <v>158</v>
      </c>
      <c r="H397" s="2" t="s">
        <v>33</v>
      </c>
      <c r="I397" s="2" t="s">
        <v>45</v>
      </c>
      <c r="J397" s="3">
        <v>26030</v>
      </c>
      <c r="K397" s="5" t="s">
        <v>989</v>
      </c>
    </row>
    <row r="398" spans="1:11" ht="15.5" hidden="1" thickTop="1" thickBot="1" x14ac:dyDescent="0.4">
      <c r="A398" s="4" t="s">
        <v>57</v>
      </c>
      <c r="B398" s="2" t="s">
        <v>12</v>
      </c>
      <c r="C398" s="2" t="s">
        <v>13</v>
      </c>
      <c r="D398" s="2" t="s">
        <v>990</v>
      </c>
      <c r="E398" s="2" t="s">
        <v>991</v>
      </c>
      <c r="F398" s="2" t="s">
        <v>66</v>
      </c>
      <c r="G398" s="2" t="s">
        <v>70</v>
      </c>
      <c r="H398" s="2" t="s">
        <v>33</v>
      </c>
      <c r="I398" s="2" t="s">
        <v>45</v>
      </c>
      <c r="J398" s="2">
        <v>630</v>
      </c>
      <c r="K398" s="5" t="s">
        <v>46</v>
      </c>
    </row>
    <row r="399" spans="1:11" ht="15.5" hidden="1" thickTop="1" thickBot="1" x14ac:dyDescent="0.4">
      <c r="A399" s="4" t="s">
        <v>11</v>
      </c>
      <c r="B399" s="2" t="s">
        <v>12</v>
      </c>
      <c r="C399" s="2" t="s">
        <v>28</v>
      </c>
      <c r="D399" s="2" t="s">
        <v>507</v>
      </c>
      <c r="E399" s="2" t="s">
        <v>97</v>
      </c>
      <c r="F399" s="2" t="s">
        <v>95</v>
      </c>
      <c r="G399" s="2" t="s">
        <v>509</v>
      </c>
      <c r="H399" s="2" t="s">
        <v>88</v>
      </c>
      <c r="I399" s="2" t="s">
        <v>19</v>
      </c>
      <c r="J399" s="3">
        <v>37960</v>
      </c>
      <c r="K399" s="5" t="s">
        <v>992</v>
      </c>
    </row>
    <row r="400" spans="1:11" ht="15.5" hidden="1" thickTop="1" thickBot="1" x14ac:dyDescent="0.4">
      <c r="A400" s="4" t="s">
        <v>11</v>
      </c>
      <c r="B400" s="2" t="s">
        <v>12</v>
      </c>
      <c r="C400" s="2" t="s">
        <v>13</v>
      </c>
      <c r="D400" s="2" t="s">
        <v>845</v>
      </c>
      <c r="E400" s="2" t="s">
        <v>993</v>
      </c>
      <c r="F400" s="2" t="s">
        <v>66</v>
      </c>
      <c r="G400" s="2" t="s">
        <v>32</v>
      </c>
      <c r="H400" s="2" t="s">
        <v>33</v>
      </c>
      <c r="I400" s="2" t="s">
        <v>45</v>
      </c>
      <c r="J400" s="2">
        <v>600</v>
      </c>
      <c r="K400" s="5" t="s">
        <v>46</v>
      </c>
    </row>
    <row r="401" spans="1:11" ht="15.5" hidden="1" thickTop="1" thickBot="1" x14ac:dyDescent="0.4">
      <c r="A401" s="4" t="s">
        <v>11</v>
      </c>
      <c r="B401" s="2" t="s">
        <v>12</v>
      </c>
      <c r="C401" s="2" t="s">
        <v>28</v>
      </c>
      <c r="D401" s="2" t="s">
        <v>994</v>
      </c>
      <c r="E401" s="2" t="s">
        <v>995</v>
      </c>
      <c r="F401" s="2" t="s">
        <v>141</v>
      </c>
      <c r="G401" s="2" t="s">
        <v>405</v>
      </c>
      <c r="H401" s="2" t="s">
        <v>116</v>
      </c>
      <c r="I401" s="2" t="s">
        <v>19</v>
      </c>
      <c r="J401" s="3">
        <v>12270</v>
      </c>
      <c r="K401" s="5" t="s">
        <v>996</v>
      </c>
    </row>
    <row r="402" spans="1:11" ht="15.5" hidden="1" thickTop="1" thickBot="1" x14ac:dyDescent="0.4">
      <c r="A402" s="4" t="s">
        <v>57</v>
      </c>
      <c r="B402" s="2" t="s">
        <v>12</v>
      </c>
      <c r="C402" s="2" t="s">
        <v>13</v>
      </c>
      <c r="D402" s="2" t="s">
        <v>875</v>
      </c>
      <c r="E402" s="2" t="s">
        <v>997</v>
      </c>
      <c r="F402" s="2" t="s">
        <v>141</v>
      </c>
      <c r="G402" s="2" t="s">
        <v>877</v>
      </c>
      <c r="H402" s="2" t="s">
        <v>88</v>
      </c>
      <c r="I402" s="2" t="s">
        <v>19</v>
      </c>
      <c r="J402" s="3">
        <v>22060</v>
      </c>
      <c r="K402" s="5" t="s">
        <v>998</v>
      </c>
    </row>
    <row r="403" spans="1:11" ht="15.5" hidden="1" thickTop="1" thickBot="1" x14ac:dyDescent="0.4">
      <c r="A403" s="4" t="s">
        <v>11</v>
      </c>
      <c r="B403" s="2" t="s">
        <v>21</v>
      </c>
      <c r="C403" s="2" t="s">
        <v>28</v>
      </c>
      <c r="D403" s="2" t="s">
        <v>337</v>
      </c>
      <c r="E403" s="2" t="s">
        <v>48</v>
      </c>
      <c r="F403" s="2" t="s">
        <v>279</v>
      </c>
      <c r="G403" s="2" t="s">
        <v>50</v>
      </c>
      <c r="H403" s="2" t="s">
        <v>18</v>
      </c>
      <c r="I403" s="2" t="s">
        <v>19</v>
      </c>
      <c r="J403" s="3">
        <v>130040</v>
      </c>
      <c r="K403" s="5" t="s">
        <v>89</v>
      </c>
    </row>
    <row r="404" spans="1:11" ht="15.5" hidden="1" thickTop="1" thickBot="1" x14ac:dyDescent="0.4">
      <c r="A404" s="4" t="s">
        <v>11</v>
      </c>
      <c r="B404" s="2" t="s">
        <v>12</v>
      </c>
      <c r="C404" s="2" t="s">
        <v>28</v>
      </c>
      <c r="D404" s="2" t="s">
        <v>58</v>
      </c>
      <c r="E404" s="2" t="s">
        <v>999</v>
      </c>
      <c r="F404" s="2" t="s">
        <v>141</v>
      </c>
      <c r="G404" s="2" t="s">
        <v>61</v>
      </c>
      <c r="H404" s="2" t="s">
        <v>33</v>
      </c>
      <c r="I404" s="2" t="s">
        <v>19</v>
      </c>
      <c r="J404" s="2">
        <v>900</v>
      </c>
      <c r="K404" s="5" t="s">
        <v>1000</v>
      </c>
    </row>
    <row r="405" spans="1:11" ht="15.5" hidden="1" thickTop="1" thickBot="1" x14ac:dyDescent="0.4">
      <c r="A405" s="4" t="s">
        <v>11</v>
      </c>
      <c r="B405" s="2" t="s">
        <v>12</v>
      </c>
      <c r="C405" s="2" t="s">
        <v>28</v>
      </c>
      <c r="D405" s="2" t="s">
        <v>259</v>
      </c>
      <c r="E405" s="2" t="s">
        <v>1001</v>
      </c>
      <c r="F405" s="2" t="s">
        <v>69</v>
      </c>
      <c r="G405" s="2" t="s">
        <v>147</v>
      </c>
      <c r="H405" s="2" t="s">
        <v>18</v>
      </c>
      <c r="I405" s="2" t="s">
        <v>19</v>
      </c>
      <c r="J405" s="3">
        <v>865436</v>
      </c>
      <c r="K405" s="5" t="s">
        <v>1002</v>
      </c>
    </row>
    <row r="406" spans="1:11" ht="15.5" hidden="1" thickTop="1" thickBot="1" x14ac:dyDescent="0.4">
      <c r="A406" s="4" t="s">
        <v>11</v>
      </c>
      <c r="B406" s="2" t="s">
        <v>12</v>
      </c>
      <c r="C406" s="2" t="s">
        <v>28</v>
      </c>
      <c r="D406" s="2" t="s">
        <v>932</v>
      </c>
      <c r="E406" s="2" t="s">
        <v>1003</v>
      </c>
      <c r="F406" s="2" t="s">
        <v>86</v>
      </c>
      <c r="G406" s="2" t="s">
        <v>50</v>
      </c>
      <c r="H406" s="2" t="s">
        <v>33</v>
      </c>
      <c r="I406" s="2" t="s">
        <v>19</v>
      </c>
      <c r="J406" s="3">
        <v>26630</v>
      </c>
      <c r="K406" s="5" t="s">
        <v>1004</v>
      </c>
    </row>
    <row r="407" spans="1:11" ht="15.5" thickTop="1" thickBot="1" x14ac:dyDescent="0.4">
      <c r="A407" s="4" t="s">
        <v>11</v>
      </c>
      <c r="B407" s="2" t="s">
        <v>75</v>
      </c>
      <c r="C407" s="2" t="s">
        <v>28</v>
      </c>
      <c r="D407" s="2" t="s">
        <v>441</v>
      </c>
      <c r="E407" s="2" t="s">
        <v>1005</v>
      </c>
      <c r="F407" s="2" t="s">
        <v>31</v>
      </c>
      <c r="G407" s="2" t="s">
        <v>73</v>
      </c>
      <c r="H407" s="2" t="s">
        <v>44</v>
      </c>
      <c r="I407" s="2" t="s">
        <v>19</v>
      </c>
      <c r="J407" s="3">
        <v>274280</v>
      </c>
      <c r="K407" s="5" t="s">
        <v>1006</v>
      </c>
    </row>
    <row r="408" spans="1:11" ht="15.5" hidden="1" thickTop="1" thickBot="1" x14ac:dyDescent="0.4">
      <c r="A408" s="4" t="s">
        <v>11</v>
      </c>
      <c r="B408" s="2" t="s">
        <v>12</v>
      </c>
      <c r="C408" s="2" t="s">
        <v>63</v>
      </c>
      <c r="D408" s="2" t="s">
        <v>983</v>
      </c>
      <c r="E408" s="2" t="s">
        <v>1007</v>
      </c>
      <c r="F408" s="2" t="s">
        <v>141</v>
      </c>
      <c r="G408" s="2" t="s">
        <v>984</v>
      </c>
      <c r="H408" s="2" t="s">
        <v>88</v>
      </c>
      <c r="I408" s="2" t="s">
        <v>45</v>
      </c>
      <c r="J408" s="3">
        <v>120040</v>
      </c>
      <c r="K408" s="5" t="s">
        <v>985</v>
      </c>
    </row>
    <row r="409" spans="1:11" ht="15.5" hidden="1" thickTop="1" thickBot="1" x14ac:dyDescent="0.4">
      <c r="A409" s="4" t="s">
        <v>11</v>
      </c>
      <c r="B409" s="2" t="s">
        <v>12</v>
      </c>
      <c r="C409" s="2" t="s">
        <v>63</v>
      </c>
      <c r="D409" s="2" t="s">
        <v>269</v>
      </c>
      <c r="E409" s="2" t="s">
        <v>270</v>
      </c>
      <c r="F409" s="2" t="s">
        <v>95</v>
      </c>
      <c r="G409" s="2" t="s">
        <v>271</v>
      </c>
      <c r="H409" s="2" t="s">
        <v>33</v>
      </c>
      <c r="I409" s="2" t="s">
        <v>19</v>
      </c>
      <c r="J409" s="3">
        <v>108650</v>
      </c>
      <c r="K409" s="5" t="s">
        <v>62</v>
      </c>
    </row>
    <row r="410" spans="1:11" ht="15.5" hidden="1" thickTop="1" thickBot="1" x14ac:dyDescent="0.4">
      <c r="A410" s="4" t="s">
        <v>11</v>
      </c>
      <c r="B410" s="2" t="s">
        <v>12</v>
      </c>
      <c r="C410" s="2" t="s">
        <v>28</v>
      </c>
      <c r="D410" s="2" t="s">
        <v>415</v>
      </c>
      <c r="E410" s="2" t="s">
        <v>1008</v>
      </c>
      <c r="F410" s="2" t="s">
        <v>225</v>
      </c>
      <c r="G410" s="2" t="s">
        <v>416</v>
      </c>
      <c r="H410" s="2" t="s">
        <v>88</v>
      </c>
      <c r="I410" s="2" t="s">
        <v>45</v>
      </c>
      <c r="J410" s="3">
        <v>76010</v>
      </c>
      <c r="K410" s="5" t="s">
        <v>46</v>
      </c>
    </row>
    <row r="411" spans="1:11" ht="15.5" hidden="1" thickTop="1" thickBot="1" x14ac:dyDescent="0.4">
      <c r="A411" s="4" t="s">
        <v>11</v>
      </c>
      <c r="B411" s="2" t="s">
        <v>12</v>
      </c>
      <c r="C411" s="2" t="s">
        <v>13</v>
      </c>
      <c r="D411" s="2" t="s">
        <v>1009</v>
      </c>
      <c r="E411" s="2" t="s">
        <v>1010</v>
      </c>
      <c r="F411" s="2" t="s">
        <v>31</v>
      </c>
      <c r="G411" s="2" t="s">
        <v>1011</v>
      </c>
      <c r="H411" s="2" t="s">
        <v>88</v>
      </c>
      <c r="I411" s="2" t="s">
        <v>45</v>
      </c>
      <c r="J411" s="2">
        <v>240</v>
      </c>
      <c r="K411" s="5" t="s">
        <v>46</v>
      </c>
    </row>
    <row r="412" spans="1:11" ht="15.5" hidden="1" thickTop="1" thickBot="1" x14ac:dyDescent="0.4">
      <c r="A412" s="4" t="s">
        <v>11</v>
      </c>
      <c r="B412" s="2" t="s">
        <v>12</v>
      </c>
      <c r="C412" s="2" t="s">
        <v>28</v>
      </c>
      <c r="D412" s="2" t="s">
        <v>1012</v>
      </c>
      <c r="E412" s="2" t="s">
        <v>494</v>
      </c>
      <c r="F412" s="2" t="s">
        <v>300</v>
      </c>
      <c r="G412" s="2" t="s">
        <v>288</v>
      </c>
      <c r="H412" s="2" t="s">
        <v>33</v>
      </c>
      <c r="I412" s="2" t="s">
        <v>19</v>
      </c>
      <c r="J412" s="3">
        <v>17040</v>
      </c>
      <c r="K412" s="5" t="s">
        <v>148</v>
      </c>
    </row>
    <row r="413" spans="1:11" ht="15.5" thickTop="1" thickBot="1" x14ac:dyDescent="0.4">
      <c r="A413" s="4" t="s">
        <v>11</v>
      </c>
      <c r="B413" s="2" t="s">
        <v>75</v>
      </c>
      <c r="C413" s="2" t="s">
        <v>63</v>
      </c>
      <c r="D413" s="2" t="s">
        <v>1013</v>
      </c>
      <c r="E413" s="2" t="s">
        <v>65</v>
      </c>
      <c r="F413" s="2" t="s">
        <v>279</v>
      </c>
      <c r="G413" s="2" t="s">
        <v>70</v>
      </c>
      <c r="H413" s="2" t="s">
        <v>44</v>
      </c>
      <c r="I413" s="2" t="s">
        <v>45</v>
      </c>
      <c r="J413" s="2">
        <v>457</v>
      </c>
      <c r="K413" s="5" t="s">
        <v>46</v>
      </c>
    </row>
    <row r="414" spans="1:11" ht="15.5" hidden="1" thickTop="1" thickBot="1" x14ac:dyDescent="0.4">
      <c r="A414" s="4" t="s">
        <v>11</v>
      </c>
      <c r="B414" s="2" t="s">
        <v>21</v>
      </c>
      <c r="C414" s="2" t="s">
        <v>13</v>
      </c>
      <c r="D414" s="2" t="s">
        <v>1014</v>
      </c>
      <c r="E414" s="2" t="s">
        <v>1015</v>
      </c>
      <c r="F414" s="2" t="s">
        <v>95</v>
      </c>
      <c r="G414" s="2" t="s">
        <v>1016</v>
      </c>
      <c r="H414" s="2" t="s">
        <v>116</v>
      </c>
      <c r="I414" s="2" t="s">
        <v>45</v>
      </c>
      <c r="J414" s="2">
        <v>240</v>
      </c>
      <c r="K414" s="5" t="s">
        <v>46</v>
      </c>
    </row>
    <row r="415" spans="1:11" ht="15.5" thickTop="1" thickBot="1" x14ac:dyDescent="0.4">
      <c r="A415" s="4" t="s">
        <v>11</v>
      </c>
      <c r="B415" s="2" t="s">
        <v>12</v>
      </c>
      <c r="C415" s="2" t="s">
        <v>13</v>
      </c>
      <c r="D415" s="2" t="s">
        <v>702</v>
      </c>
      <c r="E415" s="2" t="s">
        <v>1017</v>
      </c>
      <c r="F415" s="2" t="s">
        <v>31</v>
      </c>
      <c r="G415" s="2" t="s">
        <v>405</v>
      </c>
      <c r="H415" s="2" t="s">
        <v>44</v>
      </c>
      <c r="I415" s="2" t="s">
        <v>19</v>
      </c>
      <c r="J415" s="3">
        <v>29490</v>
      </c>
      <c r="K415" s="5" t="s">
        <v>143</v>
      </c>
    </row>
    <row r="416" spans="1:11" ht="15.5" hidden="1" thickTop="1" thickBot="1" x14ac:dyDescent="0.4">
      <c r="A416" s="4" t="s">
        <v>11</v>
      </c>
      <c r="B416" s="2" t="s">
        <v>75</v>
      </c>
      <c r="C416" s="2" t="s">
        <v>28</v>
      </c>
      <c r="D416" s="2" t="s">
        <v>394</v>
      </c>
      <c r="E416" s="2" t="s">
        <v>1018</v>
      </c>
      <c r="F416" s="2" t="s">
        <v>31</v>
      </c>
      <c r="G416" s="2" t="s">
        <v>395</v>
      </c>
      <c r="H416" s="2" t="s">
        <v>33</v>
      </c>
      <c r="I416" s="2" t="s">
        <v>19</v>
      </c>
      <c r="J416" s="3">
        <v>27420</v>
      </c>
      <c r="K416" s="5" t="s">
        <v>1019</v>
      </c>
    </row>
    <row r="417" spans="1:11" ht="15.5" hidden="1" thickTop="1" thickBot="1" x14ac:dyDescent="0.4">
      <c r="A417" s="4" t="s">
        <v>11</v>
      </c>
      <c r="B417" s="2" t="s">
        <v>12</v>
      </c>
      <c r="C417" s="2" t="s">
        <v>63</v>
      </c>
      <c r="D417" s="2" t="s">
        <v>765</v>
      </c>
      <c r="E417" s="2" t="s">
        <v>65</v>
      </c>
      <c r="F417" s="2" t="s">
        <v>86</v>
      </c>
      <c r="G417" s="2" t="s">
        <v>70</v>
      </c>
      <c r="H417" s="2" t="s">
        <v>33</v>
      </c>
      <c r="I417" s="2" t="s">
        <v>45</v>
      </c>
      <c r="J417" s="2">
        <v>45</v>
      </c>
      <c r="K417" s="5" t="s">
        <v>46</v>
      </c>
    </row>
    <row r="418" spans="1:11" ht="15.5" hidden="1" thickTop="1" thickBot="1" x14ac:dyDescent="0.4">
      <c r="A418" s="4" t="s">
        <v>11</v>
      </c>
      <c r="B418" s="2" t="s">
        <v>12</v>
      </c>
      <c r="C418" s="2" t="s">
        <v>28</v>
      </c>
      <c r="D418" s="2" t="s">
        <v>551</v>
      </c>
      <c r="E418" s="2" t="s">
        <v>1020</v>
      </c>
      <c r="F418" s="2" t="s">
        <v>95</v>
      </c>
      <c r="G418" s="2" t="s">
        <v>70</v>
      </c>
      <c r="H418" s="2" t="s">
        <v>33</v>
      </c>
      <c r="I418" s="2" t="s">
        <v>19</v>
      </c>
      <c r="J418" s="3">
        <v>65810</v>
      </c>
      <c r="K418" s="5" t="s">
        <v>39</v>
      </c>
    </row>
    <row r="419" spans="1:11" ht="15.5" hidden="1" thickTop="1" thickBot="1" x14ac:dyDescent="0.4">
      <c r="A419" s="4" t="s">
        <v>11</v>
      </c>
      <c r="B419" s="2" t="s">
        <v>12</v>
      </c>
      <c r="C419" s="2" t="s">
        <v>13</v>
      </c>
      <c r="D419" s="2" t="s">
        <v>1021</v>
      </c>
      <c r="E419" s="2" t="s">
        <v>1022</v>
      </c>
      <c r="F419" s="2" t="s">
        <v>561</v>
      </c>
      <c r="G419" s="2" t="s">
        <v>1023</v>
      </c>
      <c r="H419" s="2" t="s">
        <v>88</v>
      </c>
      <c r="I419" s="2" t="s">
        <v>19</v>
      </c>
      <c r="J419" s="3">
        <v>107710</v>
      </c>
      <c r="K419" s="5" t="s">
        <v>136</v>
      </c>
    </row>
    <row r="420" spans="1:11" ht="15.5" hidden="1" thickTop="1" thickBot="1" x14ac:dyDescent="0.4">
      <c r="A420" s="4" t="s">
        <v>11</v>
      </c>
      <c r="B420" s="2" t="s">
        <v>75</v>
      </c>
      <c r="C420" s="2" t="s">
        <v>28</v>
      </c>
      <c r="D420" s="2" t="s">
        <v>391</v>
      </c>
      <c r="E420" s="2" t="s">
        <v>392</v>
      </c>
      <c r="F420" s="2" t="s">
        <v>146</v>
      </c>
      <c r="G420" s="2" t="s">
        <v>393</v>
      </c>
      <c r="H420" s="2" t="s">
        <v>88</v>
      </c>
      <c r="I420" s="2" t="s">
        <v>19</v>
      </c>
      <c r="J420" s="3">
        <v>78700</v>
      </c>
      <c r="K420" s="5" t="s">
        <v>187</v>
      </c>
    </row>
    <row r="421" spans="1:11" ht="15.5" thickTop="1" thickBot="1" x14ac:dyDescent="0.4">
      <c r="A421" s="4" t="s">
        <v>11</v>
      </c>
      <c r="B421" s="2" t="s">
        <v>12</v>
      </c>
      <c r="C421" s="2" t="s">
        <v>13</v>
      </c>
      <c r="D421" s="2" t="s">
        <v>330</v>
      </c>
      <c r="E421" s="2" t="s">
        <v>331</v>
      </c>
      <c r="F421" s="2" t="s">
        <v>141</v>
      </c>
      <c r="G421" s="2" t="s">
        <v>168</v>
      </c>
      <c r="H421" s="2" t="s">
        <v>44</v>
      </c>
      <c r="I421" s="2" t="s">
        <v>19</v>
      </c>
      <c r="J421" s="3">
        <v>9900</v>
      </c>
      <c r="K421" s="5" t="s">
        <v>1024</v>
      </c>
    </row>
    <row r="422" spans="1:11" ht="15.5" hidden="1" thickTop="1" thickBot="1" x14ac:dyDescent="0.4">
      <c r="A422" s="4" t="s">
        <v>11</v>
      </c>
      <c r="B422" s="2" t="s">
        <v>75</v>
      </c>
      <c r="C422" s="2" t="s">
        <v>28</v>
      </c>
      <c r="D422" s="2" t="s">
        <v>465</v>
      </c>
      <c r="E422" s="2" t="s">
        <v>666</v>
      </c>
      <c r="F422" s="2" t="s">
        <v>279</v>
      </c>
      <c r="G422" s="2" t="s">
        <v>395</v>
      </c>
      <c r="H422" s="2" t="s">
        <v>33</v>
      </c>
      <c r="I422" s="2" t="s">
        <v>19</v>
      </c>
      <c r="J422" s="3">
        <v>26060</v>
      </c>
      <c r="K422" s="5" t="s">
        <v>136</v>
      </c>
    </row>
    <row r="423" spans="1:11" ht="15.5" hidden="1" thickTop="1" thickBot="1" x14ac:dyDescent="0.4">
      <c r="A423" s="4" t="s">
        <v>11</v>
      </c>
      <c r="B423" s="2" t="s">
        <v>75</v>
      </c>
      <c r="C423" s="2" t="s">
        <v>13</v>
      </c>
      <c r="D423" s="2" t="s">
        <v>955</v>
      </c>
      <c r="E423" s="2" t="s">
        <v>997</v>
      </c>
      <c r="F423" s="2" t="s">
        <v>31</v>
      </c>
      <c r="G423" s="2" t="s">
        <v>783</v>
      </c>
      <c r="H423" s="2" t="s">
        <v>56</v>
      </c>
      <c r="I423" s="2" t="s">
        <v>45</v>
      </c>
      <c r="J423" s="3">
        <v>12659</v>
      </c>
      <c r="K423" s="5" t="s">
        <v>1025</v>
      </c>
    </row>
    <row r="424" spans="1:11" ht="15.5" hidden="1" thickTop="1" thickBot="1" x14ac:dyDescent="0.4">
      <c r="A424" s="4" t="s">
        <v>11</v>
      </c>
      <c r="B424" s="2" t="s">
        <v>12</v>
      </c>
      <c r="C424" s="2" t="s">
        <v>28</v>
      </c>
      <c r="D424" s="2" t="s">
        <v>972</v>
      </c>
      <c r="E424" s="2" t="s">
        <v>41</v>
      </c>
      <c r="F424" s="2" t="s">
        <v>245</v>
      </c>
      <c r="G424" s="2" t="s">
        <v>973</v>
      </c>
      <c r="H424" s="2" t="s">
        <v>33</v>
      </c>
      <c r="I424" s="2" t="s">
        <v>19</v>
      </c>
      <c r="J424" s="3">
        <v>2300</v>
      </c>
      <c r="K424" s="5" t="s">
        <v>46</v>
      </c>
    </row>
    <row r="425" spans="1:11" ht="15.5" hidden="1" thickTop="1" thickBot="1" x14ac:dyDescent="0.4">
      <c r="A425" s="4" t="s">
        <v>11</v>
      </c>
      <c r="B425" s="2" t="s">
        <v>75</v>
      </c>
      <c r="C425" s="2" t="s">
        <v>13</v>
      </c>
      <c r="D425" s="2" t="s">
        <v>1026</v>
      </c>
      <c r="E425" s="2" t="s">
        <v>1027</v>
      </c>
      <c r="F425" s="2" t="s">
        <v>772</v>
      </c>
      <c r="G425" s="2" t="s">
        <v>1028</v>
      </c>
      <c r="H425" s="2" t="s">
        <v>33</v>
      </c>
      <c r="I425" s="2" t="s">
        <v>45</v>
      </c>
      <c r="J425" s="3">
        <v>3570</v>
      </c>
      <c r="K425" s="5" t="s">
        <v>46</v>
      </c>
    </row>
    <row r="426" spans="1:11" ht="15.5" hidden="1" thickTop="1" thickBot="1" x14ac:dyDescent="0.4">
      <c r="A426" s="4" t="s">
        <v>11</v>
      </c>
      <c r="B426" s="2" t="s">
        <v>12</v>
      </c>
      <c r="C426" s="2" t="s">
        <v>28</v>
      </c>
      <c r="D426" s="2" t="s">
        <v>298</v>
      </c>
      <c r="E426" s="2" t="s">
        <v>1029</v>
      </c>
      <c r="F426" s="2" t="s">
        <v>95</v>
      </c>
      <c r="G426" s="2" t="s">
        <v>301</v>
      </c>
      <c r="H426" s="2" t="s">
        <v>33</v>
      </c>
      <c r="I426" s="2" t="s">
        <v>19</v>
      </c>
      <c r="J426" s="3">
        <v>24800</v>
      </c>
      <c r="K426" s="5" t="s">
        <v>46</v>
      </c>
    </row>
    <row r="427" spans="1:11" ht="15.5" hidden="1" thickTop="1" thickBot="1" x14ac:dyDescent="0.4">
      <c r="A427" s="4" t="s">
        <v>11</v>
      </c>
      <c r="B427" s="2" t="s">
        <v>12</v>
      </c>
      <c r="C427" s="2" t="s">
        <v>28</v>
      </c>
      <c r="D427" s="2" t="s">
        <v>1030</v>
      </c>
      <c r="E427" s="2" t="s">
        <v>397</v>
      </c>
      <c r="F427" s="2" t="s">
        <v>95</v>
      </c>
      <c r="G427" s="2" t="s">
        <v>398</v>
      </c>
      <c r="H427" s="2" t="s">
        <v>18</v>
      </c>
      <c r="I427" s="2" t="s">
        <v>45</v>
      </c>
      <c r="J427" s="3">
        <v>23910</v>
      </c>
      <c r="K427" s="5" t="s">
        <v>1031</v>
      </c>
    </row>
    <row r="428" spans="1:11" ht="15.5" hidden="1" thickTop="1" thickBot="1" x14ac:dyDescent="0.4">
      <c r="A428" s="4" t="s">
        <v>11</v>
      </c>
      <c r="B428" s="2" t="s">
        <v>21</v>
      </c>
      <c r="C428" s="2" t="s">
        <v>28</v>
      </c>
      <c r="D428" s="2" t="s">
        <v>1032</v>
      </c>
      <c r="E428" s="2" t="s">
        <v>1033</v>
      </c>
      <c r="F428" s="2" t="s">
        <v>31</v>
      </c>
      <c r="G428" s="2" t="s">
        <v>439</v>
      </c>
      <c r="H428" s="2" t="s">
        <v>33</v>
      </c>
      <c r="I428" s="2" t="s">
        <v>45</v>
      </c>
      <c r="J428" s="3">
        <v>4570</v>
      </c>
      <c r="K428" s="5" t="s">
        <v>46</v>
      </c>
    </row>
    <row r="429" spans="1:11" ht="15.5" hidden="1" thickTop="1" thickBot="1" x14ac:dyDescent="0.4">
      <c r="A429" s="4" t="s">
        <v>11</v>
      </c>
      <c r="B429" s="2" t="s">
        <v>12</v>
      </c>
      <c r="C429" s="2" t="s">
        <v>28</v>
      </c>
      <c r="D429" s="2" t="s">
        <v>493</v>
      </c>
      <c r="E429" s="2" t="s">
        <v>463</v>
      </c>
      <c r="F429" s="2" t="s">
        <v>225</v>
      </c>
      <c r="G429" s="2" t="s">
        <v>495</v>
      </c>
      <c r="H429" s="2" t="s">
        <v>33</v>
      </c>
      <c r="I429" s="2" t="s">
        <v>19</v>
      </c>
      <c r="J429" s="3">
        <v>182288</v>
      </c>
      <c r="K429" s="5" t="s">
        <v>1034</v>
      </c>
    </row>
    <row r="430" spans="1:11" ht="15.5" thickTop="1" thickBot="1" x14ac:dyDescent="0.4">
      <c r="A430" s="4" t="s">
        <v>11</v>
      </c>
      <c r="B430" s="2" t="s">
        <v>12</v>
      </c>
      <c r="C430" s="2" t="s">
        <v>63</v>
      </c>
      <c r="D430" s="2" t="s">
        <v>94</v>
      </c>
      <c r="E430" s="2" t="s">
        <v>253</v>
      </c>
      <c r="F430" s="2" t="s">
        <v>95</v>
      </c>
      <c r="G430" s="2" t="s">
        <v>70</v>
      </c>
      <c r="H430" s="2" t="s">
        <v>44</v>
      </c>
      <c r="I430" s="2" t="s">
        <v>45</v>
      </c>
      <c r="J430" s="2">
        <v>300</v>
      </c>
      <c r="K430" s="5" t="s">
        <v>46</v>
      </c>
    </row>
    <row r="431" spans="1:11" ht="15.5" hidden="1" thickTop="1" thickBot="1" x14ac:dyDescent="0.4">
      <c r="A431" s="4" t="s">
        <v>11</v>
      </c>
      <c r="B431" s="2" t="s">
        <v>21</v>
      </c>
      <c r="C431" s="2" t="s">
        <v>13</v>
      </c>
      <c r="D431" s="2" t="s">
        <v>1026</v>
      </c>
      <c r="E431" s="2" t="s">
        <v>1027</v>
      </c>
      <c r="F431" s="2" t="s">
        <v>31</v>
      </c>
      <c r="G431" s="2" t="s">
        <v>1028</v>
      </c>
      <c r="H431" s="2" t="s">
        <v>33</v>
      </c>
      <c r="I431" s="2" t="s">
        <v>45</v>
      </c>
      <c r="J431" s="3">
        <v>3560</v>
      </c>
      <c r="K431" s="5" t="s">
        <v>46</v>
      </c>
    </row>
    <row r="432" spans="1:11" ht="15.5" thickTop="1" thickBot="1" x14ac:dyDescent="0.4">
      <c r="A432" s="4" t="s">
        <v>11</v>
      </c>
      <c r="B432" s="2" t="s">
        <v>12</v>
      </c>
      <c r="C432" s="2" t="s">
        <v>28</v>
      </c>
      <c r="D432" s="2" t="s">
        <v>878</v>
      </c>
      <c r="E432" s="2" t="s">
        <v>122</v>
      </c>
      <c r="F432" s="2" t="s">
        <v>179</v>
      </c>
      <c r="G432" s="2" t="s">
        <v>70</v>
      </c>
      <c r="H432" s="2" t="s">
        <v>44</v>
      </c>
      <c r="I432" s="2" t="s">
        <v>45</v>
      </c>
      <c r="J432" s="2">
        <v>90</v>
      </c>
      <c r="K432" s="5" t="s">
        <v>879</v>
      </c>
    </row>
    <row r="433" spans="1:11" ht="15.5" hidden="1" thickTop="1" thickBot="1" x14ac:dyDescent="0.4">
      <c r="A433" s="4" t="s">
        <v>11</v>
      </c>
      <c r="B433" s="2" t="s">
        <v>21</v>
      </c>
      <c r="C433" s="2" t="s">
        <v>63</v>
      </c>
      <c r="D433" s="2" t="s">
        <v>1035</v>
      </c>
      <c r="E433" s="2" t="s">
        <v>1036</v>
      </c>
      <c r="F433" s="2" t="s">
        <v>49</v>
      </c>
      <c r="G433" s="2" t="s">
        <v>405</v>
      </c>
      <c r="H433" s="2" t="s">
        <v>33</v>
      </c>
      <c r="I433" s="2" t="s">
        <v>45</v>
      </c>
      <c r="J433" s="3">
        <v>1530</v>
      </c>
      <c r="K433" s="5" t="s">
        <v>46</v>
      </c>
    </row>
    <row r="434" spans="1:11" ht="15.5" hidden="1" thickTop="1" thickBot="1" x14ac:dyDescent="0.4">
      <c r="A434" s="4" t="s">
        <v>11</v>
      </c>
      <c r="B434" s="2" t="s">
        <v>12</v>
      </c>
      <c r="C434" s="2" t="s">
        <v>28</v>
      </c>
      <c r="D434" s="2" t="s">
        <v>243</v>
      </c>
      <c r="E434" s="2" t="s">
        <v>1037</v>
      </c>
      <c r="F434" s="2" t="s">
        <v>95</v>
      </c>
      <c r="G434" s="2" t="s">
        <v>246</v>
      </c>
      <c r="H434" s="2" t="s">
        <v>33</v>
      </c>
      <c r="I434" s="2" t="s">
        <v>19</v>
      </c>
      <c r="J434" s="3">
        <v>187570</v>
      </c>
      <c r="K434" s="5" t="s">
        <v>1038</v>
      </c>
    </row>
    <row r="435" spans="1:11" ht="15.5" hidden="1" thickTop="1" thickBot="1" x14ac:dyDescent="0.4">
      <c r="A435" s="4" t="s">
        <v>11</v>
      </c>
      <c r="B435" s="2" t="s">
        <v>12</v>
      </c>
      <c r="C435" s="2" t="s">
        <v>28</v>
      </c>
      <c r="D435" s="2" t="s">
        <v>1039</v>
      </c>
      <c r="E435" s="2" t="s">
        <v>1040</v>
      </c>
      <c r="F435" s="2" t="s">
        <v>141</v>
      </c>
      <c r="G435" s="2" t="s">
        <v>1041</v>
      </c>
      <c r="H435" s="2" t="s">
        <v>33</v>
      </c>
      <c r="I435" s="2" t="s">
        <v>19</v>
      </c>
      <c r="J435" s="3">
        <v>4780</v>
      </c>
      <c r="K435" s="5" t="s">
        <v>62</v>
      </c>
    </row>
    <row r="436" spans="1:11" ht="15.5" hidden="1" thickTop="1" thickBot="1" x14ac:dyDescent="0.4">
      <c r="A436" s="4" t="s">
        <v>11</v>
      </c>
      <c r="B436" s="2" t="s">
        <v>12</v>
      </c>
      <c r="C436" s="2" t="s">
        <v>28</v>
      </c>
      <c r="D436" s="2" t="s">
        <v>1042</v>
      </c>
      <c r="E436" s="2" t="s">
        <v>1043</v>
      </c>
      <c r="F436" s="2" t="s">
        <v>31</v>
      </c>
      <c r="G436" s="2" t="s">
        <v>1044</v>
      </c>
      <c r="H436" s="2" t="s">
        <v>18</v>
      </c>
      <c r="I436" s="2" t="s">
        <v>19</v>
      </c>
      <c r="J436" s="3">
        <v>11020</v>
      </c>
      <c r="K436" s="5" t="s">
        <v>1045</v>
      </c>
    </row>
    <row r="437" spans="1:11" ht="15.5" hidden="1" thickTop="1" thickBot="1" x14ac:dyDescent="0.4">
      <c r="A437" s="4" t="s">
        <v>11</v>
      </c>
      <c r="B437" s="2" t="s">
        <v>12</v>
      </c>
      <c r="C437" s="2" t="s">
        <v>28</v>
      </c>
      <c r="D437" s="2" t="s">
        <v>888</v>
      </c>
      <c r="E437" s="2" t="s">
        <v>427</v>
      </c>
      <c r="F437" s="2" t="s">
        <v>612</v>
      </c>
      <c r="G437" s="2" t="s">
        <v>70</v>
      </c>
      <c r="H437" s="2" t="s">
        <v>33</v>
      </c>
      <c r="I437" s="2" t="s">
        <v>45</v>
      </c>
      <c r="J437" s="2">
        <v>90</v>
      </c>
      <c r="K437" s="5" t="s">
        <v>46</v>
      </c>
    </row>
    <row r="438" spans="1:11" ht="15.5" hidden="1" thickTop="1" thickBot="1" x14ac:dyDescent="0.4">
      <c r="A438" s="4" t="s">
        <v>11</v>
      </c>
      <c r="B438" s="2" t="s">
        <v>12</v>
      </c>
      <c r="C438" s="2" t="s">
        <v>13</v>
      </c>
      <c r="D438" s="2" t="s">
        <v>1046</v>
      </c>
      <c r="E438" s="2" t="s">
        <v>1047</v>
      </c>
      <c r="F438" s="2" t="s">
        <v>60</v>
      </c>
      <c r="G438" s="2" t="s">
        <v>288</v>
      </c>
      <c r="H438" s="2" t="s">
        <v>33</v>
      </c>
      <c r="I438" s="2" t="s">
        <v>45</v>
      </c>
      <c r="J438" s="3">
        <v>2810</v>
      </c>
      <c r="K438" s="5" t="s">
        <v>46</v>
      </c>
    </row>
    <row r="439" spans="1:11" ht="15.5" hidden="1" thickTop="1" thickBot="1" x14ac:dyDescent="0.4">
      <c r="A439" s="4" t="s">
        <v>11</v>
      </c>
      <c r="B439" s="2" t="s">
        <v>12</v>
      </c>
      <c r="C439" s="2" t="s">
        <v>13</v>
      </c>
      <c r="D439" s="2" t="s">
        <v>1048</v>
      </c>
      <c r="E439" s="2" t="s">
        <v>1049</v>
      </c>
      <c r="F439" s="2" t="s">
        <v>300</v>
      </c>
      <c r="G439" s="2" t="s">
        <v>820</v>
      </c>
      <c r="H439" s="2" t="s">
        <v>33</v>
      </c>
      <c r="I439" s="2" t="s">
        <v>45</v>
      </c>
      <c r="J439" s="3">
        <v>263610</v>
      </c>
      <c r="K439" s="5" t="s">
        <v>1050</v>
      </c>
    </row>
    <row r="440" spans="1:11" ht="15.5" hidden="1" thickTop="1" thickBot="1" x14ac:dyDescent="0.4">
      <c r="A440" s="4" t="s">
        <v>11</v>
      </c>
      <c r="B440" s="2" t="s">
        <v>12</v>
      </c>
      <c r="C440" s="2" t="s">
        <v>13</v>
      </c>
      <c r="D440" s="2" t="s">
        <v>1051</v>
      </c>
      <c r="E440" s="2" t="s">
        <v>1052</v>
      </c>
      <c r="F440" s="2" t="s">
        <v>104</v>
      </c>
      <c r="G440" s="2" t="s">
        <v>168</v>
      </c>
      <c r="H440" s="2" t="s">
        <v>33</v>
      </c>
      <c r="I440" s="2" t="s">
        <v>45</v>
      </c>
      <c r="J440" s="2">
        <v>420</v>
      </c>
      <c r="K440" s="5" t="s">
        <v>46</v>
      </c>
    </row>
    <row r="441" spans="1:11" ht="15.5" thickTop="1" thickBot="1" x14ac:dyDescent="0.4">
      <c r="A441" s="4" t="s">
        <v>11</v>
      </c>
      <c r="B441" s="2" t="s">
        <v>21</v>
      </c>
      <c r="C441" s="2" t="s">
        <v>28</v>
      </c>
      <c r="D441" s="2" t="s">
        <v>396</v>
      </c>
      <c r="E441" s="2" t="s">
        <v>397</v>
      </c>
      <c r="F441" s="2" t="s">
        <v>141</v>
      </c>
      <c r="G441" s="2" t="s">
        <v>398</v>
      </c>
      <c r="H441" s="2" t="s">
        <v>44</v>
      </c>
      <c r="I441" s="2" t="s">
        <v>45</v>
      </c>
      <c r="J441" s="3">
        <v>33010</v>
      </c>
      <c r="K441" s="5" t="s">
        <v>1053</v>
      </c>
    </row>
    <row r="442" spans="1:11" ht="15.5" hidden="1" thickTop="1" thickBot="1" x14ac:dyDescent="0.4">
      <c r="A442" s="4" t="s">
        <v>11</v>
      </c>
      <c r="B442" s="2" t="s">
        <v>21</v>
      </c>
      <c r="C442" s="2" t="s">
        <v>28</v>
      </c>
      <c r="D442" s="2" t="s">
        <v>1054</v>
      </c>
      <c r="E442" s="2" t="s">
        <v>122</v>
      </c>
      <c r="F442" s="2" t="s">
        <v>141</v>
      </c>
      <c r="G442" s="2" t="s">
        <v>70</v>
      </c>
      <c r="H442" s="2" t="s">
        <v>33</v>
      </c>
      <c r="I442" s="2" t="s">
        <v>45</v>
      </c>
      <c r="J442" s="2">
        <v>45</v>
      </c>
      <c r="K442" s="5" t="s">
        <v>1055</v>
      </c>
    </row>
    <row r="443" spans="1:11" ht="15.5" hidden="1" thickTop="1" thickBot="1" x14ac:dyDescent="0.4">
      <c r="A443" s="4" t="s">
        <v>11</v>
      </c>
      <c r="B443" s="2" t="s">
        <v>12</v>
      </c>
      <c r="C443" s="2" t="s">
        <v>28</v>
      </c>
      <c r="D443" s="2" t="s">
        <v>338</v>
      </c>
      <c r="E443" s="2" t="s">
        <v>1056</v>
      </c>
      <c r="F443" s="2" t="s">
        <v>141</v>
      </c>
      <c r="G443" s="2" t="s">
        <v>291</v>
      </c>
      <c r="H443" s="2" t="s">
        <v>33</v>
      </c>
      <c r="I443" s="2" t="s">
        <v>19</v>
      </c>
      <c r="J443" s="3">
        <v>97070</v>
      </c>
      <c r="K443" s="5" t="s">
        <v>1057</v>
      </c>
    </row>
    <row r="444" spans="1:11" ht="15.5" thickTop="1" thickBot="1" x14ac:dyDescent="0.4">
      <c r="A444" s="4" t="s">
        <v>11</v>
      </c>
      <c r="B444" s="2" t="s">
        <v>52</v>
      </c>
      <c r="C444" s="2" t="s">
        <v>28</v>
      </c>
      <c r="D444" s="2" t="s">
        <v>1058</v>
      </c>
      <c r="E444" s="2" t="s">
        <v>72</v>
      </c>
      <c r="F444" s="2" t="s">
        <v>276</v>
      </c>
      <c r="G444" s="2" t="s">
        <v>175</v>
      </c>
      <c r="H444" s="2" t="s">
        <v>44</v>
      </c>
      <c r="I444" s="2" t="s">
        <v>19</v>
      </c>
      <c r="J444" s="3">
        <v>53700</v>
      </c>
      <c r="K444" s="5" t="s">
        <v>89</v>
      </c>
    </row>
    <row r="445" spans="1:11" ht="15.5" hidden="1" thickTop="1" thickBot="1" x14ac:dyDescent="0.4">
      <c r="A445" s="4" t="s">
        <v>11</v>
      </c>
      <c r="B445" s="2" t="s">
        <v>12</v>
      </c>
      <c r="C445" s="2" t="s">
        <v>28</v>
      </c>
      <c r="D445" s="2" t="s">
        <v>1059</v>
      </c>
      <c r="E445" s="2" t="s">
        <v>1060</v>
      </c>
      <c r="F445" s="2" t="s">
        <v>24</v>
      </c>
      <c r="G445" s="2" t="s">
        <v>750</v>
      </c>
      <c r="H445" s="2" t="s">
        <v>33</v>
      </c>
      <c r="I445" s="2" t="s">
        <v>45</v>
      </c>
      <c r="J445" s="2">
        <v>75</v>
      </c>
      <c r="K445" s="5" t="s">
        <v>46</v>
      </c>
    </row>
    <row r="446" spans="1:11" ht="15.5" hidden="1" thickTop="1" thickBot="1" x14ac:dyDescent="0.4">
      <c r="A446" s="4" t="s">
        <v>11</v>
      </c>
      <c r="B446" s="2" t="s">
        <v>75</v>
      </c>
      <c r="C446" s="2" t="s">
        <v>28</v>
      </c>
      <c r="D446" s="2" t="s">
        <v>945</v>
      </c>
      <c r="E446" s="2" t="s">
        <v>1061</v>
      </c>
      <c r="F446" s="2" t="s">
        <v>300</v>
      </c>
      <c r="G446" s="2" t="s">
        <v>43</v>
      </c>
      <c r="H446" s="2" t="s">
        <v>33</v>
      </c>
      <c r="I446" s="2" t="s">
        <v>19</v>
      </c>
      <c r="J446" s="3">
        <v>96040</v>
      </c>
      <c r="K446" s="5" t="s">
        <v>27</v>
      </c>
    </row>
    <row r="447" spans="1:11" ht="15.5" hidden="1" thickTop="1" thickBot="1" x14ac:dyDescent="0.4">
      <c r="A447" s="4" t="s">
        <v>11</v>
      </c>
      <c r="B447" s="2" t="s">
        <v>12</v>
      </c>
      <c r="C447" s="2" t="s">
        <v>28</v>
      </c>
      <c r="D447" s="2" t="s">
        <v>630</v>
      </c>
      <c r="E447" s="2" t="s">
        <v>1062</v>
      </c>
      <c r="F447" s="2" t="s">
        <v>95</v>
      </c>
      <c r="G447" s="2" t="s">
        <v>632</v>
      </c>
      <c r="H447" s="2" t="s">
        <v>33</v>
      </c>
      <c r="I447" s="2" t="s">
        <v>19</v>
      </c>
      <c r="J447" s="3">
        <v>2520</v>
      </c>
      <c r="K447" s="5" t="s">
        <v>1063</v>
      </c>
    </row>
    <row r="448" spans="1:11" ht="15.5" hidden="1" thickTop="1" thickBot="1" x14ac:dyDescent="0.4">
      <c r="A448" s="4" t="s">
        <v>11</v>
      </c>
      <c r="B448" s="2" t="s">
        <v>75</v>
      </c>
      <c r="C448" s="2" t="s">
        <v>28</v>
      </c>
      <c r="D448" s="2" t="s">
        <v>1064</v>
      </c>
      <c r="E448" s="2" t="s">
        <v>1065</v>
      </c>
      <c r="F448" s="2" t="s">
        <v>24</v>
      </c>
      <c r="G448" s="2" t="s">
        <v>1066</v>
      </c>
      <c r="H448" s="2" t="s">
        <v>88</v>
      </c>
      <c r="I448" s="2" t="s">
        <v>19</v>
      </c>
      <c r="J448" s="3">
        <v>3570</v>
      </c>
      <c r="K448" s="5" t="s">
        <v>39</v>
      </c>
    </row>
    <row r="449" spans="1:11" ht="15.5" hidden="1" thickTop="1" thickBot="1" x14ac:dyDescent="0.4">
      <c r="A449" s="4" t="s">
        <v>11</v>
      </c>
      <c r="B449" s="2" t="s">
        <v>75</v>
      </c>
      <c r="C449" s="2" t="s">
        <v>28</v>
      </c>
      <c r="D449" s="2" t="s">
        <v>1067</v>
      </c>
      <c r="E449" s="2" t="s">
        <v>1068</v>
      </c>
      <c r="F449" s="2" t="s">
        <v>245</v>
      </c>
      <c r="G449" s="2" t="s">
        <v>38</v>
      </c>
      <c r="H449" s="2" t="s">
        <v>33</v>
      </c>
      <c r="I449" s="2" t="s">
        <v>19</v>
      </c>
      <c r="J449" s="3">
        <v>21310</v>
      </c>
      <c r="K449" s="5" t="s">
        <v>1069</v>
      </c>
    </row>
    <row r="450" spans="1:11" ht="15.5" thickTop="1" thickBot="1" x14ac:dyDescent="0.4">
      <c r="A450" s="4" t="s">
        <v>11</v>
      </c>
      <c r="B450" s="2" t="s">
        <v>12</v>
      </c>
      <c r="C450" s="2" t="s">
        <v>28</v>
      </c>
      <c r="D450" s="2" t="s">
        <v>1070</v>
      </c>
      <c r="E450" s="2" t="s">
        <v>635</v>
      </c>
      <c r="F450" s="2" t="s">
        <v>566</v>
      </c>
      <c r="G450" s="2" t="s">
        <v>951</v>
      </c>
      <c r="H450" s="2" t="s">
        <v>44</v>
      </c>
      <c r="I450" s="2" t="s">
        <v>19</v>
      </c>
      <c r="J450" s="3">
        <v>123020</v>
      </c>
      <c r="K450" s="5" t="s">
        <v>1071</v>
      </c>
    </row>
    <row r="451" spans="1:11" ht="15.5" hidden="1" thickTop="1" thickBot="1" x14ac:dyDescent="0.4">
      <c r="A451" s="4" t="s">
        <v>11</v>
      </c>
      <c r="B451" s="2" t="s">
        <v>12</v>
      </c>
      <c r="C451" s="2" t="s">
        <v>28</v>
      </c>
      <c r="D451" s="2" t="s">
        <v>1072</v>
      </c>
      <c r="E451" s="2" t="s">
        <v>167</v>
      </c>
      <c r="F451" s="2" t="s">
        <v>31</v>
      </c>
      <c r="G451" s="2" t="s">
        <v>183</v>
      </c>
      <c r="H451" s="2" t="s">
        <v>18</v>
      </c>
      <c r="I451" s="2" t="s">
        <v>19</v>
      </c>
      <c r="J451" s="3">
        <v>27030</v>
      </c>
      <c r="K451" s="5" t="s">
        <v>1073</v>
      </c>
    </row>
    <row r="452" spans="1:11" ht="15.5" hidden="1" thickTop="1" thickBot="1" x14ac:dyDescent="0.4">
      <c r="A452" s="4" t="s">
        <v>11</v>
      </c>
      <c r="B452" s="2" t="s">
        <v>75</v>
      </c>
      <c r="C452" s="2" t="s">
        <v>13</v>
      </c>
      <c r="D452" s="2" t="s">
        <v>605</v>
      </c>
      <c r="E452" s="2" t="s">
        <v>606</v>
      </c>
      <c r="F452" s="2" t="s">
        <v>37</v>
      </c>
      <c r="G452" s="2" t="s">
        <v>67</v>
      </c>
      <c r="H452" s="2" t="s">
        <v>18</v>
      </c>
      <c r="I452" s="2" t="s">
        <v>19</v>
      </c>
      <c r="J452" s="3">
        <v>17040</v>
      </c>
      <c r="K452" s="5" t="s">
        <v>46</v>
      </c>
    </row>
    <row r="453" spans="1:11" ht="15.5" hidden="1" thickTop="1" thickBot="1" x14ac:dyDescent="0.4">
      <c r="A453" s="4" t="s">
        <v>11</v>
      </c>
      <c r="B453" s="2" t="s">
        <v>12</v>
      </c>
      <c r="C453" s="2" t="s">
        <v>28</v>
      </c>
      <c r="D453" s="2" t="s">
        <v>794</v>
      </c>
      <c r="E453" s="2" t="s">
        <v>795</v>
      </c>
      <c r="F453" s="2" t="s">
        <v>31</v>
      </c>
      <c r="G453" s="2" t="s">
        <v>439</v>
      </c>
      <c r="H453" s="2" t="s">
        <v>56</v>
      </c>
      <c r="I453" s="2" t="s">
        <v>45</v>
      </c>
      <c r="J453" s="2">
        <v>210</v>
      </c>
      <c r="K453" s="5" t="s">
        <v>1074</v>
      </c>
    </row>
    <row r="454" spans="1:11" ht="15.5" hidden="1" thickTop="1" thickBot="1" x14ac:dyDescent="0.4">
      <c r="A454" s="4" t="s">
        <v>57</v>
      </c>
      <c r="B454" s="2" t="s">
        <v>12</v>
      </c>
      <c r="C454" s="2" t="s">
        <v>28</v>
      </c>
      <c r="D454" s="2" t="s">
        <v>1075</v>
      </c>
      <c r="E454" s="2" t="s">
        <v>1076</v>
      </c>
      <c r="F454" s="2" t="s">
        <v>760</v>
      </c>
      <c r="G454" s="2" t="s">
        <v>1077</v>
      </c>
      <c r="H454" s="2" t="s">
        <v>33</v>
      </c>
      <c r="I454" s="2" t="s">
        <v>19</v>
      </c>
      <c r="J454" s="3">
        <v>117800</v>
      </c>
      <c r="K454" s="5" t="s">
        <v>1078</v>
      </c>
    </row>
    <row r="455" spans="1:11" ht="15.5" hidden="1" thickTop="1" thickBot="1" x14ac:dyDescent="0.4">
      <c r="A455" s="4" t="s">
        <v>11</v>
      </c>
      <c r="B455" s="2" t="s">
        <v>21</v>
      </c>
      <c r="C455" s="2" t="s">
        <v>63</v>
      </c>
      <c r="D455" s="2" t="s">
        <v>400</v>
      </c>
      <c r="E455" s="2" t="s">
        <v>1079</v>
      </c>
      <c r="F455" s="2" t="s">
        <v>245</v>
      </c>
      <c r="G455" s="2" t="s">
        <v>401</v>
      </c>
      <c r="H455" s="2" t="s">
        <v>33</v>
      </c>
      <c r="I455" s="2" t="s">
        <v>45</v>
      </c>
      <c r="J455" s="2">
        <v>30</v>
      </c>
      <c r="K455" s="5" t="s">
        <v>1080</v>
      </c>
    </row>
    <row r="456" spans="1:11" ht="15.5" hidden="1" thickTop="1" thickBot="1" x14ac:dyDescent="0.4">
      <c r="A456" s="4" t="s">
        <v>11</v>
      </c>
      <c r="B456" s="2" t="s">
        <v>12</v>
      </c>
      <c r="C456" s="2" t="s">
        <v>13</v>
      </c>
      <c r="D456" s="2" t="s">
        <v>1081</v>
      </c>
      <c r="E456" s="2" t="s">
        <v>1082</v>
      </c>
      <c r="F456" s="2" t="s">
        <v>49</v>
      </c>
      <c r="G456" s="2" t="s">
        <v>1083</v>
      </c>
      <c r="H456" s="2" t="s">
        <v>33</v>
      </c>
      <c r="I456" s="2" t="s">
        <v>19</v>
      </c>
      <c r="J456" s="3">
        <v>110020</v>
      </c>
      <c r="K456" s="5" t="s">
        <v>1084</v>
      </c>
    </row>
    <row r="457" spans="1:11" ht="15.5" hidden="1" thickTop="1" thickBot="1" x14ac:dyDescent="0.4">
      <c r="A457" s="4" t="s">
        <v>11</v>
      </c>
      <c r="B457" s="2" t="s">
        <v>75</v>
      </c>
      <c r="C457" s="2" t="s">
        <v>13</v>
      </c>
      <c r="D457" s="2" t="s">
        <v>149</v>
      </c>
      <c r="E457" s="2" t="s">
        <v>150</v>
      </c>
      <c r="F457" s="2" t="s">
        <v>141</v>
      </c>
      <c r="G457" s="2" t="s">
        <v>151</v>
      </c>
      <c r="H457" s="2" t="s">
        <v>33</v>
      </c>
      <c r="I457" s="2" t="s">
        <v>19</v>
      </c>
      <c r="J457" s="3">
        <v>1310</v>
      </c>
      <c r="K457" s="5" t="s">
        <v>120</v>
      </c>
    </row>
    <row r="458" spans="1:11" ht="15.5" hidden="1" thickTop="1" thickBot="1" x14ac:dyDescent="0.4">
      <c r="A458" s="4" t="s">
        <v>11</v>
      </c>
      <c r="B458" s="2" t="s">
        <v>12</v>
      </c>
      <c r="C458" s="2" t="s">
        <v>28</v>
      </c>
      <c r="D458" s="2" t="s">
        <v>572</v>
      </c>
      <c r="E458" s="2" t="s">
        <v>573</v>
      </c>
      <c r="F458" s="2" t="s">
        <v>225</v>
      </c>
      <c r="G458" s="2" t="s">
        <v>574</v>
      </c>
      <c r="H458" s="2" t="s">
        <v>33</v>
      </c>
      <c r="I458" s="2" t="s">
        <v>45</v>
      </c>
      <c r="J458" s="2">
        <v>180</v>
      </c>
      <c r="K458" s="5" t="s">
        <v>601</v>
      </c>
    </row>
    <row r="459" spans="1:11" ht="15.5" hidden="1" thickTop="1" thickBot="1" x14ac:dyDescent="0.4">
      <c r="A459" s="4" t="s">
        <v>11</v>
      </c>
      <c r="B459" s="2" t="s">
        <v>12</v>
      </c>
      <c r="C459" s="2" t="s">
        <v>28</v>
      </c>
      <c r="D459" s="2" t="s">
        <v>470</v>
      </c>
      <c r="E459" s="2" t="s">
        <v>1085</v>
      </c>
      <c r="F459" s="2" t="s">
        <v>225</v>
      </c>
      <c r="G459" s="2" t="s">
        <v>124</v>
      </c>
      <c r="H459" s="2" t="s">
        <v>33</v>
      </c>
      <c r="I459" s="2" t="s">
        <v>19</v>
      </c>
      <c r="J459" s="3">
        <v>261040</v>
      </c>
      <c r="K459" s="5" t="s">
        <v>471</v>
      </c>
    </row>
    <row r="460" spans="1:11" ht="15.5" hidden="1" thickTop="1" thickBot="1" x14ac:dyDescent="0.4">
      <c r="A460" s="4" t="s">
        <v>11</v>
      </c>
      <c r="B460" s="2" t="s">
        <v>12</v>
      </c>
      <c r="C460" s="2" t="s">
        <v>13</v>
      </c>
      <c r="D460" s="2" t="s">
        <v>496</v>
      </c>
      <c r="E460" s="2" t="s">
        <v>1086</v>
      </c>
      <c r="F460" s="2" t="s">
        <v>279</v>
      </c>
      <c r="G460" s="2" t="s">
        <v>50</v>
      </c>
      <c r="H460" s="2" t="s">
        <v>33</v>
      </c>
      <c r="I460" s="2" t="s">
        <v>45</v>
      </c>
      <c r="J460" s="3">
        <v>3510</v>
      </c>
      <c r="K460" s="5" t="s">
        <v>1087</v>
      </c>
    </row>
    <row r="461" spans="1:11" ht="15.5" hidden="1" thickTop="1" thickBot="1" x14ac:dyDescent="0.4">
      <c r="A461" s="4" t="s">
        <v>11</v>
      </c>
      <c r="B461" s="2" t="s">
        <v>12</v>
      </c>
      <c r="C461" s="2" t="s">
        <v>13</v>
      </c>
      <c r="D461" s="2" t="s">
        <v>1088</v>
      </c>
      <c r="E461" s="2" t="s">
        <v>1089</v>
      </c>
      <c r="F461" s="2" t="s">
        <v>95</v>
      </c>
      <c r="G461" s="2" t="s">
        <v>395</v>
      </c>
      <c r="H461" s="2" t="s">
        <v>33</v>
      </c>
      <c r="I461" s="2" t="s">
        <v>45</v>
      </c>
      <c r="J461" s="3">
        <v>1060</v>
      </c>
      <c r="K461" s="5" t="s">
        <v>39</v>
      </c>
    </row>
    <row r="462" spans="1:11" ht="15.5" hidden="1" thickTop="1" thickBot="1" x14ac:dyDescent="0.4">
      <c r="A462" s="4" t="s">
        <v>57</v>
      </c>
      <c r="B462" s="2" t="s">
        <v>12</v>
      </c>
      <c r="C462" s="2" t="s">
        <v>28</v>
      </c>
      <c r="D462" s="2" t="s">
        <v>1090</v>
      </c>
      <c r="E462" s="2" t="s">
        <v>1091</v>
      </c>
      <c r="F462" s="2" t="s">
        <v>49</v>
      </c>
      <c r="G462" s="2" t="s">
        <v>344</v>
      </c>
      <c r="H462" s="2" t="s">
        <v>116</v>
      </c>
      <c r="I462" s="2" t="s">
        <v>19</v>
      </c>
      <c r="J462" s="3">
        <v>6160</v>
      </c>
      <c r="K462" s="5" t="s">
        <v>1092</v>
      </c>
    </row>
    <row r="463" spans="1:11" ht="15.5" hidden="1" thickTop="1" thickBot="1" x14ac:dyDescent="0.4">
      <c r="A463" s="4" t="s">
        <v>57</v>
      </c>
      <c r="B463" s="2" t="s">
        <v>75</v>
      </c>
      <c r="C463" s="2" t="s">
        <v>28</v>
      </c>
      <c r="D463" s="2" t="s">
        <v>502</v>
      </c>
      <c r="E463" s="2" t="s">
        <v>375</v>
      </c>
      <c r="F463" s="2" t="s">
        <v>66</v>
      </c>
      <c r="G463" s="2" t="s">
        <v>503</v>
      </c>
      <c r="H463" s="2" t="s">
        <v>33</v>
      </c>
      <c r="I463" s="2" t="s">
        <v>45</v>
      </c>
      <c r="J463" s="2">
        <v>31</v>
      </c>
      <c r="K463" s="5" t="s">
        <v>46</v>
      </c>
    </row>
    <row r="464" spans="1:11" ht="15.5" thickTop="1" thickBot="1" x14ac:dyDescent="0.4">
      <c r="A464" s="4" t="s">
        <v>11</v>
      </c>
      <c r="B464" s="2" t="s">
        <v>12</v>
      </c>
      <c r="C464" s="2" t="s">
        <v>28</v>
      </c>
      <c r="D464" s="2" t="s">
        <v>914</v>
      </c>
      <c r="E464" s="2" t="s">
        <v>1093</v>
      </c>
      <c r="F464" s="2" t="s">
        <v>95</v>
      </c>
      <c r="G464" s="2" t="s">
        <v>916</v>
      </c>
      <c r="H464" s="2" t="s">
        <v>44</v>
      </c>
      <c r="I464" s="2" t="s">
        <v>19</v>
      </c>
      <c r="J464" s="3">
        <v>3790</v>
      </c>
      <c r="K464" s="5" t="s">
        <v>917</v>
      </c>
    </row>
    <row r="465" spans="1:11" ht="15.5" hidden="1" thickTop="1" thickBot="1" x14ac:dyDescent="0.4">
      <c r="A465" s="4" t="s">
        <v>11</v>
      </c>
      <c r="B465" s="2" t="s">
        <v>12</v>
      </c>
      <c r="C465" s="2" t="s">
        <v>28</v>
      </c>
      <c r="D465" s="2" t="s">
        <v>1094</v>
      </c>
      <c r="E465" s="2" t="s">
        <v>270</v>
      </c>
      <c r="F465" s="2" t="s">
        <v>141</v>
      </c>
      <c r="G465" s="2" t="s">
        <v>1095</v>
      </c>
      <c r="H465" s="2" t="s">
        <v>33</v>
      </c>
      <c r="I465" s="2" t="s">
        <v>45</v>
      </c>
      <c r="J465" s="2">
        <v>510</v>
      </c>
      <c r="K465" s="5" t="s">
        <v>62</v>
      </c>
    </row>
    <row r="466" spans="1:11" ht="15.5" hidden="1" thickTop="1" thickBot="1" x14ac:dyDescent="0.4">
      <c r="A466" s="4" t="s">
        <v>11</v>
      </c>
      <c r="B466" s="2" t="s">
        <v>12</v>
      </c>
      <c r="C466" s="2" t="s">
        <v>28</v>
      </c>
      <c r="D466" s="2" t="s">
        <v>1096</v>
      </c>
      <c r="E466" s="2" t="s">
        <v>487</v>
      </c>
      <c r="F466" s="2" t="s">
        <v>49</v>
      </c>
      <c r="G466" s="2" t="s">
        <v>1097</v>
      </c>
      <c r="H466" s="2" t="s">
        <v>33</v>
      </c>
      <c r="I466" s="2" t="s">
        <v>19</v>
      </c>
      <c r="J466" s="3">
        <v>16070</v>
      </c>
      <c r="K466" s="5" t="s">
        <v>89</v>
      </c>
    </row>
    <row r="467" spans="1:11" ht="15.5" thickTop="1" thickBot="1" x14ac:dyDescent="0.4">
      <c r="A467" s="4" t="s">
        <v>11</v>
      </c>
      <c r="B467" s="2" t="s">
        <v>12</v>
      </c>
      <c r="C467" s="2" t="s">
        <v>28</v>
      </c>
      <c r="D467" s="2" t="s">
        <v>1098</v>
      </c>
      <c r="E467" s="2" t="s">
        <v>883</v>
      </c>
      <c r="F467" s="2" t="s">
        <v>95</v>
      </c>
      <c r="G467" s="2" t="s">
        <v>516</v>
      </c>
      <c r="H467" s="2" t="s">
        <v>44</v>
      </c>
      <c r="I467" s="2" t="s">
        <v>19</v>
      </c>
      <c r="J467" s="3">
        <v>100050</v>
      </c>
      <c r="K467" s="5" t="s">
        <v>83</v>
      </c>
    </row>
    <row r="468" spans="1:11" ht="15.5" hidden="1" thickTop="1" thickBot="1" x14ac:dyDescent="0.4">
      <c r="A468" s="4" t="s">
        <v>57</v>
      </c>
      <c r="B468" s="2" t="s">
        <v>12</v>
      </c>
      <c r="C468" s="2" t="s">
        <v>28</v>
      </c>
      <c r="D468" s="2" t="s">
        <v>579</v>
      </c>
      <c r="E468" s="2" t="s">
        <v>529</v>
      </c>
      <c r="F468" s="2" t="s">
        <v>141</v>
      </c>
      <c r="G468" s="2" t="s">
        <v>530</v>
      </c>
      <c r="H468" s="2" t="s">
        <v>88</v>
      </c>
      <c r="I468" s="2" t="s">
        <v>45</v>
      </c>
      <c r="J468" s="2">
        <v>250</v>
      </c>
      <c r="K468" s="5" t="s">
        <v>934</v>
      </c>
    </row>
    <row r="469" spans="1:11" ht="15.5" thickTop="1" thickBot="1" x14ac:dyDescent="0.4">
      <c r="A469" s="4" t="s">
        <v>11</v>
      </c>
      <c r="B469" s="2" t="s">
        <v>12</v>
      </c>
      <c r="C469" s="2" t="s">
        <v>13</v>
      </c>
      <c r="D469" s="2" t="s">
        <v>239</v>
      </c>
      <c r="E469" s="2" t="s">
        <v>240</v>
      </c>
      <c r="F469" s="2" t="s">
        <v>141</v>
      </c>
      <c r="G469" s="2" t="s">
        <v>241</v>
      </c>
      <c r="H469" s="2" t="s">
        <v>44</v>
      </c>
      <c r="I469" s="2" t="s">
        <v>19</v>
      </c>
      <c r="J469" s="3">
        <v>68440</v>
      </c>
      <c r="K469" s="5" t="s">
        <v>242</v>
      </c>
    </row>
    <row r="470" spans="1:11" ht="15.5" hidden="1" thickTop="1" thickBot="1" x14ac:dyDescent="0.4">
      <c r="A470" s="4" t="s">
        <v>11</v>
      </c>
      <c r="B470" s="2" t="s">
        <v>12</v>
      </c>
      <c r="C470" s="2" t="s">
        <v>28</v>
      </c>
      <c r="D470" s="2" t="s">
        <v>511</v>
      </c>
      <c r="E470" s="2" t="s">
        <v>512</v>
      </c>
      <c r="F470" s="2" t="s">
        <v>95</v>
      </c>
      <c r="G470" s="2" t="s">
        <v>513</v>
      </c>
      <c r="H470" s="2" t="s">
        <v>33</v>
      </c>
      <c r="I470" s="2" t="s">
        <v>19</v>
      </c>
      <c r="J470" s="3">
        <v>65130</v>
      </c>
      <c r="K470" s="5" t="s">
        <v>1099</v>
      </c>
    </row>
    <row r="471" spans="1:11" ht="15.5" thickTop="1" thickBot="1" x14ac:dyDescent="0.4">
      <c r="A471" s="4" t="s">
        <v>11</v>
      </c>
      <c r="B471" s="2" t="s">
        <v>75</v>
      </c>
      <c r="C471" s="2" t="s">
        <v>28</v>
      </c>
      <c r="D471" s="2" t="s">
        <v>207</v>
      </c>
      <c r="E471" s="2" t="s">
        <v>1100</v>
      </c>
      <c r="F471" s="2" t="s">
        <v>31</v>
      </c>
      <c r="G471" s="2" t="s">
        <v>70</v>
      </c>
      <c r="H471" s="2" t="s">
        <v>44</v>
      </c>
      <c r="I471" s="2" t="s">
        <v>45</v>
      </c>
      <c r="J471" s="2">
        <v>950</v>
      </c>
      <c r="K471" s="5" t="s">
        <v>46</v>
      </c>
    </row>
    <row r="472" spans="1:11" ht="15.5" thickTop="1" thickBot="1" x14ac:dyDescent="0.4">
      <c r="A472" s="4" t="s">
        <v>11</v>
      </c>
      <c r="B472" s="2" t="s">
        <v>12</v>
      </c>
      <c r="C472" s="2" t="s">
        <v>13</v>
      </c>
      <c r="D472" s="2" t="s">
        <v>274</v>
      </c>
      <c r="E472" s="2" t="s">
        <v>275</v>
      </c>
      <c r="F472" s="2" t="s">
        <v>201</v>
      </c>
      <c r="G472" s="2" t="s">
        <v>70</v>
      </c>
      <c r="H472" s="2" t="s">
        <v>44</v>
      </c>
      <c r="I472" s="2" t="s">
        <v>45</v>
      </c>
      <c r="J472" s="2">
        <v>780</v>
      </c>
      <c r="K472" s="5" t="s">
        <v>46</v>
      </c>
    </row>
    <row r="473" spans="1:11" ht="15.5" hidden="1" thickTop="1" thickBot="1" x14ac:dyDescent="0.4">
      <c r="A473" s="4" t="s">
        <v>11</v>
      </c>
      <c r="B473" s="2" t="s">
        <v>75</v>
      </c>
      <c r="C473" s="2" t="s">
        <v>13</v>
      </c>
      <c r="D473" s="2" t="s">
        <v>188</v>
      </c>
      <c r="E473" s="2" t="s">
        <v>1101</v>
      </c>
      <c r="F473" s="2" t="s">
        <v>141</v>
      </c>
      <c r="G473" s="2" t="s">
        <v>70</v>
      </c>
      <c r="H473" s="2" t="s">
        <v>33</v>
      </c>
      <c r="I473" s="2" t="s">
        <v>19</v>
      </c>
      <c r="J473" s="3">
        <v>5010</v>
      </c>
      <c r="K473" s="5" t="s">
        <v>46</v>
      </c>
    </row>
    <row r="474" spans="1:11" ht="15.5" hidden="1" thickTop="1" thickBot="1" x14ac:dyDescent="0.4">
      <c r="A474" s="4" t="s">
        <v>11</v>
      </c>
      <c r="B474" s="2" t="s">
        <v>12</v>
      </c>
      <c r="C474" s="2" t="s">
        <v>28</v>
      </c>
      <c r="D474" s="2" t="s">
        <v>472</v>
      </c>
      <c r="E474" s="2" t="s">
        <v>97</v>
      </c>
      <c r="F474" s="2" t="s">
        <v>211</v>
      </c>
      <c r="G474" s="2" t="s">
        <v>124</v>
      </c>
      <c r="H474" s="2" t="s">
        <v>33</v>
      </c>
      <c r="I474" s="2" t="s">
        <v>45</v>
      </c>
      <c r="J474" s="3">
        <v>15470</v>
      </c>
      <c r="K474" s="5" t="s">
        <v>968</v>
      </c>
    </row>
    <row r="475" spans="1:11" ht="15.5" hidden="1" thickTop="1" thickBot="1" x14ac:dyDescent="0.4">
      <c r="A475" s="4" t="s">
        <v>11</v>
      </c>
      <c r="B475" s="2" t="s">
        <v>12</v>
      </c>
      <c r="C475" s="2" t="s">
        <v>28</v>
      </c>
      <c r="D475" s="2" t="s">
        <v>29</v>
      </c>
      <c r="E475" s="2" t="s">
        <v>1102</v>
      </c>
      <c r="F475" s="2" t="s">
        <v>141</v>
      </c>
      <c r="G475" s="2" t="s">
        <v>32</v>
      </c>
      <c r="H475" s="2" t="s">
        <v>33</v>
      </c>
      <c r="I475" s="2" t="s">
        <v>19</v>
      </c>
      <c r="J475" s="3">
        <v>25920</v>
      </c>
      <c r="K475" s="5" t="s">
        <v>1103</v>
      </c>
    </row>
    <row r="476" spans="1:11" ht="15.5" hidden="1" thickTop="1" thickBot="1" x14ac:dyDescent="0.4">
      <c r="A476" s="4" t="s">
        <v>57</v>
      </c>
      <c r="B476" s="2" t="s">
        <v>12</v>
      </c>
      <c r="C476" s="2" t="s">
        <v>28</v>
      </c>
      <c r="D476" s="2" t="s">
        <v>262</v>
      </c>
      <c r="E476" s="2" t="s">
        <v>263</v>
      </c>
      <c r="F476" s="2" t="s">
        <v>179</v>
      </c>
      <c r="G476" s="2" t="s">
        <v>264</v>
      </c>
      <c r="H476" s="2" t="s">
        <v>33</v>
      </c>
      <c r="I476" s="2" t="s">
        <v>45</v>
      </c>
      <c r="J476" s="2">
        <v>530</v>
      </c>
      <c r="K476" s="5" t="s">
        <v>46</v>
      </c>
    </row>
    <row r="477" spans="1:11" ht="15.5" thickTop="1" thickBot="1" x14ac:dyDescent="0.4">
      <c r="A477" s="4" t="s">
        <v>11</v>
      </c>
      <c r="B477" s="2" t="s">
        <v>21</v>
      </c>
      <c r="C477" s="2" t="s">
        <v>13</v>
      </c>
      <c r="D477" s="2" t="s">
        <v>1104</v>
      </c>
      <c r="E477" s="2" t="s">
        <v>859</v>
      </c>
      <c r="F477" s="2" t="s">
        <v>49</v>
      </c>
      <c r="G477" s="2" t="s">
        <v>1105</v>
      </c>
      <c r="H477" s="2" t="s">
        <v>44</v>
      </c>
      <c r="I477" s="2" t="s">
        <v>19</v>
      </c>
      <c r="J477" s="3">
        <v>16880</v>
      </c>
      <c r="K477" s="5" t="s">
        <v>1106</v>
      </c>
    </row>
    <row r="478" spans="1:11" ht="15.5" thickTop="1" thickBot="1" x14ac:dyDescent="0.4">
      <c r="A478" s="4" t="s">
        <v>11</v>
      </c>
      <c r="B478" s="2" t="s">
        <v>12</v>
      </c>
      <c r="C478" s="2" t="s">
        <v>28</v>
      </c>
      <c r="D478" s="2" t="s">
        <v>599</v>
      </c>
      <c r="E478" s="2" t="s">
        <v>167</v>
      </c>
      <c r="F478" s="2" t="s">
        <v>31</v>
      </c>
      <c r="G478" s="2" t="s">
        <v>600</v>
      </c>
      <c r="H478" s="2" t="s">
        <v>44</v>
      </c>
      <c r="I478" s="2" t="s">
        <v>19</v>
      </c>
      <c r="J478" s="3">
        <v>62070</v>
      </c>
      <c r="K478" s="5" t="s">
        <v>601</v>
      </c>
    </row>
    <row r="479" spans="1:11" ht="15.5" hidden="1" thickTop="1" thickBot="1" x14ac:dyDescent="0.4">
      <c r="A479" s="4" t="s">
        <v>11</v>
      </c>
      <c r="B479" s="2" t="s">
        <v>12</v>
      </c>
      <c r="C479" s="2" t="s">
        <v>28</v>
      </c>
      <c r="D479" s="2" t="s">
        <v>123</v>
      </c>
      <c r="E479" s="2" t="s">
        <v>1107</v>
      </c>
      <c r="F479" s="2" t="s">
        <v>141</v>
      </c>
      <c r="G479" s="2" t="s">
        <v>124</v>
      </c>
      <c r="H479" s="2" t="s">
        <v>33</v>
      </c>
      <c r="I479" s="2" t="s">
        <v>19</v>
      </c>
      <c r="J479" s="3">
        <v>222030</v>
      </c>
      <c r="K479" s="5" t="s">
        <v>1108</v>
      </c>
    </row>
    <row r="480" spans="1:11" ht="15.5" thickTop="1" thickBot="1" x14ac:dyDescent="0.4">
      <c r="A480" s="4" t="s">
        <v>11</v>
      </c>
      <c r="B480" s="2" t="s">
        <v>21</v>
      </c>
      <c r="C480" s="2" t="s">
        <v>28</v>
      </c>
      <c r="D480" s="2" t="s">
        <v>1109</v>
      </c>
      <c r="E480" s="2" t="s">
        <v>48</v>
      </c>
      <c r="F480" s="2" t="s">
        <v>31</v>
      </c>
      <c r="G480" s="2" t="s">
        <v>1110</v>
      </c>
      <c r="H480" s="2" t="s">
        <v>44</v>
      </c>
      <c r="I480" s="2" t="s">
        <v>45</v>
      </c>
      <c r="J480" s="3">
        <v>32340</v>
      </c>
      <c r="K480" s="5" t="s">
        <v>377</v>
      </c>
    </row>
    <row r="481" spans="1:11" ht="15.5" hidden="1" thickTop="1" thickBot="1" x14ac:dyDescent="0.4">
      <c r="A481" s="4" t="s">
        <v>11</v>
      </c>
      <c r="B481" s="2" t="s">
        <v>21</v>
      </c>
      <c r="C481" s="2" t="s">
        <v>63</v>
      </c>
      <c r="D481" s="2" t="s">
        <v>71</v>
      </c>
      <c r="E481" s="2" t="s">
        <v>72</v>
      </c>
      <c r="F481" s="2" t="s">
        <v>42</v>
      </c>
      <c r="G481" s="2" t="s">
        <v>73</v>
      </c>
      <c r="H481" s="2" t="s">
        <v>33</v>
      </c>
      <c r="I481" s="2" t="s">
        <v>19</v>
      </c>
      <c r="J481" s="3">
        <v>103070</v>
      </c>
      <c r="K481" s="5" t="s">
        <v>1111</v>
      </c>
    </row>
    <row r="482" spans="1:11" ht="15.5" hidden="1" thickTop="1" thickBot="1" x14ac:dyDescent="0.4">
      <c r="A482" s="4" t="s">
        <v>11</v>
      </c>
      <c r="B482" s="2" t="s">
        <v>12</v>
      </c>
      <c r="C482" s="2" t="s">
        <v>28</v>
      </c>
      <c r="D482" s="2" t="s">
        <v>1112</v>
      </c>
      <c r="E482" s="2" t="s">
        <v>1085</v>
      </c>
      <c r="F482" s="2" t="s">
        <v>141</v>
      </c>
      <c r="G482" s="2" t="s">
        <v>1113</v>
      </c>
      <c r="H482" s="2" t="s">
        <v>33</v>
      </c>
      <c r="I482" s="2" t="s">
        <v>45</v>
      </c>
      <c r="J482" s="3">
        <v>3980</v>
      </c>
      <c r="K482" s="5" t="s">
        <v>1114</v>
      </c>
    </row>
    <row r="483" spans="1:11" ht="15.5" hidden="1" thickTop="1" thickBot="1" x14ac:dyDescent="0.4">
      <c r="A483" s="4" t="s">
        <v>11</v>
      </c>
      <c r="B483" s="2" t="s">
        <v>12</v>
      </c>
      <c r="C483" s="2" t="s">
        <v>28</v>
      </c>
      <c r="D483" s="2" t="s">
        <v>576</v>
      </c>
      <c r="E483" s="2" t="s">
        <v>41</v>
      </c>
      <c r="F483" s="2" t="s">
        <v>31</v>
      </c>
      <c r="G483" s="2" t="s">
        <v>50</v>
      </c>
      <c r="H483" s="2" t="s">
        <v>33</v>
      </c>
      <c r="I483" s="2" t="s">
        <v>45</v>
      </c>
      <c r="J483" s="2">
        <v>420</v>
      </c>
      <c r="K483" s="5" t="s">
        <v>46</v>
      </c>
    </row>
    <row r="484" spans="1:11" ht="15.5" hidden="1" thickTop="1" thickBot="1" x14ac:dyDescent="0.4">
      <c r="A484" s="4" t="s">
        <v>11</v>
      </c>
      <c r="B484" s="2" t="s">
        <v>75</v>
      </c>
      <c r="C484" s="2" t="s">
        <v>28</v>
      </c>
      <c r="D484" s="2" t="s">
        <v>602</v>
      </c>
      <c r="E484" s="2" t="s">
        <v>569</v>
      </c>
      <c r="F484" s="2" t="s">
        <v>760</v>
      </c>
      <c r="G484" s="2" t="s">
        <v>603</v>
      </c>
      <c r="H484" s="2" t="s">
        <v>18</v>
      </c>
      <c r="I484" s="2" t="s">
        <v>19</v>
      </c>
      <c r="J484" s="3">
        <v>55090</v>
      </c>
      <c r="K484" s="5" t="s">
        <v>1115</v>
      </c>
    </row>
    <row r="485" spans="1:11" ht="15.5" hidden="1" thickTop="1" thickBot="1" x14ac:dyDescent="0.4">
      <c r="A485" s="4" t="s">
        <v>11</v>
      </c>
      <c r="B485" s="2" t="s">
        <v>75</v>
      </c>
      <c r="C485" s="2" t="s">
        <v>28</v>
      </c>
      <c r="D485" s="2" t="s">
        <v>1116</v>
      </c>
      <c r="E485" s="2" t="s">
        <v>1117</v>
      </c>
      <c r="F485" s="2" t="s">
        <v>95</v>
      </c>
      <c r="G485" s="2" t="s">
        <v>891</v>
      </c>
      <c r="H485" s="2" t="s">
        <v>33</v>
      </c>
      <c r="I485" s="2" t="s">
        <v>19</v>
      </c>
      <c r="J485" s="2">
        <v>510</v>
      </c>
      <c r="K485" s="5" t="s">
        <v>143</v>
      </c>
    </row>
    <row r="486" spans="1:11" ht="15.5" hidden="1" thickTop="1" thickBot="1" x14ac:dyDescent="0.4">
      <c r="A486" s="4" t="s">
        <v>11</v>
      </c>
      <c r="B486" s="2" t="s">
        <v>12</v>
      </c>
      <c r="C486" s="2" t="s">
        <v>63</v>
      </c>
      <c r="D486" s="2" t="s">
        <v>1118</v>
      </c>
      <c r="E486" s="2" t="s">
        <v>1119</v>
      </c>
      <c r="F486" s="2" t="s">
        <v>95</v>
      </c>
      <c r="G486" s="2" t="s">
        <v>405</v>
      </c>
      <c r="H486" s="2" t="s">
        <v>33</v>
      </c>
      <c r="I486" s="2" t="s">
        <v>19</v>
      </c>
      <c r="J486" s="3">
        <v>9200</v>
      </c>
      <c r="K486" s="5" t="s">
        <v>1120</v>
      </c>
    </row>
    <row r="487" spans="1:11" ht="15.5" hidden="1" thickTop="1" thickBot="1" x14ac:dyDescent="0.4">
      <c r="A487" s="4" t="s">
        <v>11</v>
      </c>
      <c r="B487" s="2" t="s">
        <v>21</v>
      </c>
      <c r="C487" s="2" t="s">
        <v>28</v>
      </c>
      <c r="D487" s="2" t="s">
        <v>1121</v>
      </c>
      <c r="E487" s="2" t="s">
        <v>167</v>
      </c>
      <c r="F487" s="2" t="s">
        <v>31</v>
      </c>
      <c r="G487" s="2" t="s">
        <v>900</v>
      </c>
      <c r="H487" s="2" t="s">
        <v>33</v>
      </c>
      <c r="I487" s="2" t="s">
        <v>19</v>
      </c>
      <c r="J487" s="3">
        <v>1300</v>
      </c>
      <c r="K487" s="5" t="s">
        <v>89</v>
      </c>
    </row>
    <row r="488" spans="1:11" ht="15.5" hidden="1" thickTop="1" thickBot="1" x14ac:dyDescent="0.4">
      <c r="A488" s="4" t="s">
        <v>11</v>
      </c>
      <c r="B488" s="2" t="s">
        <v>12</v>
      </c>
      <c r="C488" s="2" t="s">
        <v>13</v>
      </c>
      <c r="D488" s="2" t="s">
        <v>1122</v>
      </c>
      <c r="E488" s="2" t="s">
        <v>97</v>
      </c>
      <c r="F488" s="2" t="s">
        <v>306</v>
      </c>
      <c r="G488" s="2" t="s">
        <v>288</v>
      </c>
      <c r="H488" s="2" t="s">
        <v>33</v>
      </c>
      <c r="I488" s="2" t="s">
        <v>19</v>
      </c>
      <c r="J488" s="3">
        <v>258790</v>
      </c>
      <c r="K488" s="5" t="s">
        <v>1123</v>
      </c>
    </row>
    <row r="489" spans="1:11" ht="15.5" hidden="1" thickTop="1" thickBot="1" x14ac:dyDescent="0.4">
      <c r="A489" s="4" t="s">
        <v>11</v>
      </c>
      <c r="B489" s="2" t="s">
        <v>12</v>
      </c>
      <c r="C489" s="2" t="s">
        <v>13</v>
      </c>
      <c r="D489" s="2" t="s">
        <v>309</v>
      </c>
      <c r="E489" s="2" t="s">
        <v>463</v>
      </c>
      <c r="F489" s="2" t="s">
        <v>24</v>
      </c>
      <c r="G489" s="2" t="s">
        <v>310</v>
      </c>
      <c r="H489" s="2" t="s">
        <v>33</v>
      </c>
      <c r="I489" s="2" t="s">
        <v>19</v>
      </c>
      <c r="J489" s="3">
        <v>524608</v>
      </c>
      <c r="K489" s="5" t="s">
        <v>1124</v>
      </c>
    </row>
    <row r="490" spans="1:11" ht="15.5" hidden="1" thickTop="1" thickBot="1" x14ac:dyDescent="0.4">
      <c r="A490" s="4" t="s">
        <v>11</v>
      </c>
      <c r="B490" s="2" t="s">
        <v>12</v>
      </c>
      <c r="C490" s="2" t="s">
        <v>28</v>
      </c>
      <c r="D490" s="2" t="s">
        <v>498</v>
      </c>
      <c r="E490" s="2" t="s">
        <v>1125</v>
      </c>
      <c r="F490" s="2" t="s">
        <v>49</v>
      </c>
      <c r="G490" s="2" t="s">
        <v>500</v>
      </c>
      <c r="H490" s="2" t="s">
        <v>33</v>
      </c>
      <c r="I490" s="2" t="s">
        <v>19</v>
      </c>
      <c r="J490" s="3">
        <v>20050</v>
      </c>
      <c r="K490" s="5" t="s">
        <v>1126</v>
      </c>
    </row>
    <row r="491" spans="1:11" ht="15.5" thickTop="1" thickBot="1" x14ac:dyDescent="0.4">
      <c r="A491" s="4" t="s">
        <v>11</v>
      </c>
      <c r="B491" s="2" t="s">
        <v>75</v>
      </c>
      <c r="C491" s="2" t="s">
        <v>13</v>
      </c>
      <c r="D491" s="2" t="s">
        <v>185</v>
      </c>
      <c r="E491" s="2" t="s">
        <v>430</v>
      </c>
      <c r="F491" s="2" t="s">
        <v>279</v>
      </c>
      <c r="G491" s="2" t="s">
        <v>111</v>
      </c>
      <c r="H491" s="2" t="s">
        <v>44</v>
      </c>
      <c r="I491" s="2" t="s">
        <v>19</v>
      </c>
      <c r="J491" s="3">
        <v>26050</v>
      </c>
      <c r="K491" s="5" t="s">
        <v>1127</v>
      </c>
    </row>
    <row r="492" spans="1:11" ht="15.5" hidden="1" thickTop="1" thickBot="1" x14ac:dyDescent="0.4">
      <c r="A492" s="4" t="s">
        <v>11</v>
      </c>
      <c r="B492" s="2" t="s">
        <v>12</v>
      </c>
      <c r="C492" s="2" t="s">
        <v>63</v>
      </c>
      <c r="D492" s="2" t="s">
        <v>921</v>
      </c>
      <c r="E492" s="2" t="s">
        <v>167</v>
      </c>
      <c r="F492" s="2" t="s">
        <v>95</v>
      </c>
      <c r="G492" s="2" t="s">
        <v>922</v>
      </c>
      <c r="H492" s="2" t="s">
        <v>33</v>
      </c>
      <c r="I492" s="2" t="s">
        <v>45</v>
      </c>
      <c r="J492" s="2">
        <v>90</v>
      </c>
      <c r="K492" s="5" t="s">
        <v>83</v>
      </c>
    </row>
    <row r="493" spans="1:11" ht="15.5" thickTop="1" thickBot="1" x14ac:dyDescent="0.4">
      <c r="A493" s="4" t="s">
        <v>11</v>
      </c>
      <c r="B493" s="2" t="s">
        <v>12</v>
      </c>
      <c r="C493" s="2" t="s">
        <v>13</v>
      </c>
      <c r="D493" s="2" t="s">
        <v>1128</v>
      </c>
      <c r="E493" s="2" t="s">
        <v>1129</v>
      </c>
      <c r="F493" s="2" t="s">
        <v>306</v>
      </c>
      <c r="G493" s="2" t="s">
        <v>1130</v>
      </c>
      <c r="H493" s="2" t="s">
        <v>44</v>
      </c>
      <c r="I493" s="2" t="s">
        <v>19</v>
      </c>
      <c r="J493" s="3">
        <v>18200</v>
      </c>
      <c r="K493" s="5" t="s">
        <v>62</v>
      </c>
    </row>
    <row r="494" spans="1:11" ht="15.5" hidden="1" thickTop="1" thickBot="1" x14ac:dyDescent="0.4">
      <c r="A494" s="4" t="s">
        <v>11</v>
      </c>
      <c r="B494" s="2" t="s">
        <v>12</v>
      </c>
      <c r="C494" s="2" t="s">
        <v>63</v>
      </c>
      <c r="D494" s="2" t="s">
        <v>1131</v>
      </c>
      <c r="E494" s="2" t="s">
        <v>1132</v>
      </c>
      <c r="F494" s="2" t="s">
        <v>31</v>
      </c>
      <c r="G494" s="2" t="s">
        <v>288</v>
      </c>
      <c r="H494" s="2" t="s">
        <v>33</v>
      </c>
      <c r="I494" s="2" t="s">
        <v>45</v>
      </c>
      <c r="J494" s="2">
        <v>360</v>
      </c>
      <c r="K494" s="5" t="s">
        <v>1133</v>
      </c>
    </row>
    <row r="495" spans="1:11" ht="15.5" hidden="1" thickTop="1" thickBot="1" x14ac:dyDescent="0.4">
      <c r="A495" s="4" t="s">
        <v>11</v>
      </c>
      <c r="B495" s="2" t="s">
        <v>12</v>
      </c>
      <c r="C495" s="2" t="s">
        <v>28</v>
      </c>
      <c r="D495" s="2" t="s">
        <v>1134</v>
      </c>
      <c r="E495" s="2" t="s">
        <v>1135</v>
      </c>
      <c r="F495" s="2" t="s">
        <v>353</v>
      </c>
      <c r="G495" s="2" t="s">
        <v>50</v>
      </c>
      <c r="H495" s="2" t="s">
        <v>33</v>
      </c>
      <c r="I495" s="2" t="s">
        <v>45</v>
      </c>
      <c r="J495" s="2">
        <v>900</v>
      </c>
      <c r="K495" s="5" t="s">
        <v>46</v>
      </c>
    </row>
    <row r="496" spans="1:11" ht="15.5" hidden="1" thickTop="1" thickBot="1" x14ac:dyDescent="0.4">
      <c r="A496" s="4" t="s">
        <v>11</v>
      </c>
      <c r="B496" s="2" t="s">
        <v>12</v>
      </c>
      <c r="C496" s="2" t="s">
        <v>28</v>
      </c>
      <c r="D496" s="2" t="s">
        <v>1136</v>
      </c>
      <c r="E496" s="2" t="s">
        <v>1137</v>
      </c>
      <c r="F496" s="2" t="s">
        <v>37</v>
      </c>
      <c r="G496" s="2" t="s">
        <v>1138</v>
      </c>
      <c r="H496" s="2" t="s">
        <v>33</v>
      </c>
      <c r="I496" s="2" t="s">
        <v>45</v>
      </c>
      <c r="J496" s="2" t="s">
        <v>45</v>
      </c>
      <c r="K496" s="5" t="s">
        <v>1139</v>
      </c>
    </row>
    <row r="497" spans="1:11" ht="15.5" thickTop="1" thickBot="1" x14ac:dyDescent="0.4">
      <c r="A497" s="4" t="s">
        <v>11</v>
      </c>
      <c r="B497" s="2" t="s">
        <v>75</v>
      </c>
      <c r="C497" s="2" t="s">
        <v>28</v>
      </c>
      <c r="D497" s="2" t="s">
        <v>207</v>
      </c>
      <c r="E497" s="2" t="s">
        <v>1100</v>
      </c>
      <c r="F497" s="2" t="s">
        <v>31</v>
      </c>
      <c r="G497" s="2" t="s">
        <v>70</v>
      </c>
      <c r="H497" s="2" t="s">
        <v>44</v>
      </c>
      <c r="I497" s="2" t="s">
        <v>45</v>
      </c>
      <c r="J497" s="2">
        <v>950</v>
      </c>
      <c r="K497" s="5" t="s">
        <v>46</v>
      </c>
    </row>
    <row r="498" spans="1:11" ht="15.5" hidden="1" thickTop="1" thickBot="1" x14ac:dyDescent="0.4">
      <c r="A498" s="4" t="s">
        <v>11</v>
      </c>
      <c r="B498" s="2" t="s">
        <v>75</v>
      </c>
      <c r="C498" s="2" t="s">
        <v>63</v>
      </c>
      <c r="D498" s="2" t="s">
        <v>627</v>
      </c>
      <c r="E498" s="2" t="s">
        <v>1140</v>
      </c>
      <c r="F498" s="2" t="s">
        <v>95</v>
      </c>
      <c r="G498" s="2" t="s">
        <v>629</v>
      </c>
      <c r="H498" s="2" t="s">
        <v>33</v>
      </c>
      <c r="I498" s="2" t="s">
        <v>45</v>
      </c>
      <c r="J498" s="2" t="s">
        <v>45</v>
      </c>
      <c r="K498" s="5" t="s">
        <v>83</v>
      </c>
    </row>
    <row r="499" spans="1:11" ht="15.5" hidden="1" thickTop="1" thickBot="1" x14ac:dyDescent="0.4">
      <c r="A499" s="4" t="s">
        <v>11</v>
      </c>
      <c r="B499" s="2" t="s">
        <v>75</v>
      </c>
      <c r="C499" s="2" t="s">
        <v>13</v>
      </c>
      <c r="D499" s="2" t="s">
        <v>188</v>
      </c>
      <c r="E499" s="2" t="s">
        <v>1101</v>
      </c>
      <c r="F499" s="2" t="s">
        <v>141</v>
      </c>
      <c r="G499" s="2" t="s">
        <v>70</v>
      </c>
      <c r="H499" s="2" t="s">
        <v>33</v>
      </c>
      <c r="I499" s="2" t="s">
        <v>19</v>
      </c>
      <c r="J499" s="3">
        <v>5010</v>
      </c>
      <c r="K499" s="5" t="s">
        <v>46</v>
      </c>
    </row>
    <row r="500" spans="1:11" ht="15.5" hidden="1" thickTop="1" thickBot="1" x14ac:dyDescent="0.4">
      <c r="A500" s="4" t="s">
        <v>11</v>
      </c>
      <c r="B500" s="2" t="s">
        <v>12</v>
      </c>
      <c r="C500" s="2" t="s">
        <v>13</v>
      </c>
      <c r="D500" s="2" t="s">
        <v>1141</v>
      </c>
      <c r="E500" s="2" t="s">
        <v>1142</v>
      </c>
      <c r="F500" s="2" t="s">
        <v>49</v>
      </c>
      <c r="G500" s="2" t="s">
        <v>1143</v>
      </c>
      <c r="H500" s="2" t="s">
        <v>56</v>
      </c>
      <c r="I500" s="2" t="s">
        <v>45</v>
      </c>
      <c r="J500" s="3">
        <v>19503</v>
      </c>
      <c r="K500" s="5" t="s">
        <v>1144</v>
      </c>
    </row>
    <row r="501" spans="1:11" ht="15.5" hidden="1" thickTop="1" thickBot="1" x14ac:dyDescent="0.4">
      <c r="A501" s="4" t="s">
        <v>11</v>
      </c>
      <c r="B501" s="2" t="s">
        <v>12</v>
      </c>
      <c r="C501" s="2" t="s">
        <v>13</v>
      </c>
      <c r="D501" s="2" t="s">
        <v>1145</v>
      </c>
      <c r="E501" s="2" t="s">
        <v>1146</v>
      </c>
      <c r="F501" s="2" t="s">
        <v>31</v>
      </c>
      <c r="G501" s="2" t="s">
        <v>1147</v>
      </c>
      <c r="H501" s="2" t="s">
        <v>33</v>
      </c>
      <c r="I501" s="2" t="s">
        <v>45</v>
      </c>
      <c r="J501" s="2">
        <v>150</v>
      </c>
      <c r="K501" s="5" t="s">
        <v>1148</v>
      </c>
    </row>
    <row r="502" spans="1:11" ht="15.5" hidden="1" thickTop="1" thickBot="1" x14ac:dyDescent="0.4">
      <c r="A502" s="4" t="s">
        <v>11</v>
      </c>
      <c r="B502" s="2" t="s">
        <v>12</v>
      </c>
      <c r="C502" s="2" t="s">
        <v>13</v>
      </c>
      <c r="D502" s="2" t="s">
        <v>1149</v>
      </c>
      <c r="E502" s="2" t="s">
        <v>154</v>
      </c>
      <c r="F502" s="2" t="s">
        <v>201</v>
      </c>
      <c r="G502" s="2" t="s">
        <v>155</v>
      </c>
      <c r="H502" s="2" t="s">
        <v>33</v>
      </c>
      <c r="I502" s="2" t="s">
        <v>45</v>
      </c>
      <c r="J502" s="3">
        <v>4770</v>
      </c>
      <c r="K502" s="5" t="s">
        <v>667</v>
      </c>
    </row>
    <row r="503" spans="1:11" ht="15.5" hidden="1" thickTop="1" thickBot="1" x14ac:dyDescent="0.4">
      <c r="A503" s="4" t="s">
        <v>11</v>
      </c>
      <c r="B503" s="2" t="s">
        <v>12</v>
      </c>
      <c r="C503" s="2" t="s">
        <v>28</v>
      </c>
      <c r="D503" s="2" t="s">
        <v>1150</v>
      </c>
      <c r="E503" s="2" t="s">
        <v>182</v>
      </c>
      <c r="F503" s="2" t="s">
        <v>300</v>
      </c>
      <c r="G503" s="2" t="s">
        <v>183</v>
      </c>
      <c r="H503" s="2" t="s">
        <v>88</v>
      </c>
      <c r="I503" s="2" t="s">
        <v>45</v>
      </c>
      <c r="J503" s="3">
        <v>1530</v>
      </c>
      <c r="K503" s="5" t="s">
        <v>1151</v>
      </c>
    </row>
    <row r="504" spans="1:11" ht="15.5" hidden="1" thickTop="1" thickBot="1" x14ac:dyDescent="0.4">
      <c r="A504" s="4" t="s">
        <v>11</v>
      </c>
      <c r="B504" s="2" t="s">
        <v>12</v>
      </c>
      <c r="C504" s="2" t="s">
        <v>28</v>
      </c>
      <c r="D504" s="2" t="s">
        <v>1152</v>
      </c>
      <c r="E504" s="2" t="s">
        <v>1153</v>
      </c>
      <c r="F504" s="2" t="s">
        <v>146</v>
      </c>
      <c r="G504" s="2" t="s">
        <v>354</v>
      </c>
      <c r="H504" s="2" t="s">
        <v>33</v>
      </c>
      <c r="I504" s="2" t="s">
        <v>19</v>
      </c>
      <c r="J504" s="3">
        <v>51070</v>
      </c>
      <c r="K504" s="5" t="s">
        <v>1154</v>
      </c>
    </row>
    <row r="505" spans="1:11" ht="15.5" hidden="1" thickTop="1" thickBot="1" x14ac:dyDescent="0.4">
      <c r="A505" s="4" t="s">
        <v>11</v>
      </c>
      <c r="B505" s="2" t="s">
        <v>12</v>
      </c>
      <c r="C505" s="2" t="s">
        <v>13</v>
      </c>
      <c r="D505" s="2" t="s">
        <v>1155</v>
      </c>
      <c r="E505" s="2" t="s">
        <v>72</v>
      </c>
      <c r="F505" s="2" t="s">
        <v>822</v>
      </c>
      <c r="G505" s="2" t="s">
        <v>175</v>
      </c>
      <c r="H505" s="2" t="s">
        <v>18</v>
      </c>
      <c r="I505" s="2" t="s">
        <v>19</v>
      </c>
      <c r="J505" s="3">
        <v>500010</v>
      </c>
      <c r="K505" s="5" t="s">
        <v>215</v>
      </c>
    </row>
    <row r="506" spans="1:11" ht="15.5" hidden="1" thickTop="1" thickBot="1" x14ac:dyDescent="0.4">
      <c r="A506" s="4" t="s">
        <v>11</v>
      </c>
      <c r="B506" s="2" t="s">
        <v>12</v>
      </c>
      <c r="C506" s="2" t="s">
        <v>13</v>
      </c>
      <c r="D506" s="2" t="s">
        <v>35</v>
      </c>
      <c r="E506" s="2" t="s">
        <v>517</v>
      </c>
      <c r="F506" s="2" t="s">
        <v>49</v>
      </c>
      <c r="G506" s="2" t="s">
        <v>38</v>
      </c>
      <c r="H506" s="2" t="s">
        <v>33</v>
      </c>
      <c r="I506" s="2" t="s">
        <v>19</v>
      </c>
      <c r="J506" s="3">
        <v>34660</v>
      </c>
      <c r="K506" s="5" t="s">
        <v>83</v>
      </c>
    </row>
    <row r="507" spans="1:11" ht="15.5" hidden="1" thickTop="1" thickBot="1" x14ac:dyDescent="0.4">
      <c r="A507" s="4" t="s">
        <v>57</v>
      </c>
      <c r="B507" s="2" t="s">
        <v>12</v>
      </c>
      <c r="C507" s="2" t="s">
        <v>63</v>
      </c>
      <c r="D507" s="2" t="s">
        <v>875</v>
      </c>
      <c r="E507" s="2" t="s">
        <v>1156</v>
      </c>
      <c r="F507" s="2" t="s">
        <v>69</v>
      </c>
      <c r="G507" s="2" t="s">
        <v>877</v>
      </c>
      <c r="H507" s="2" t="s">
        <v>88</v>
      </c>
      <c r="I507" s="2" t="s">
        <v>19</v>
      </c>
      <c r="J507" s="3">
        <v>22020</v>
      </c>
      <c r="K507" s="5" t="s">
        <v>143</v>
      </c>
    </row>
    <row r="508" spans="1:11" ht="15.5" hidden="1" thickTop="1" thickBot="1" x14ac:dyDescent="0.4">
      <c r="A508" s="4" t="s">
        <v>11</v>
      </c>
      <c r="B508" s="2" t="s">
        <v>12</v>
      </c>
      <c r="C508" s="2" t="s">
        <v>63</v>
      </c>
      <c r="D508" s="2" t="s">
        <v>303</v>
      </c>
      <c r="E508" s="2" t="s">
        <v>65</v>
      </c>
      <c r="F508" s="2" t="s">
        <v>225</v>
      </c>
      <c r="G508" s="2" t="s">
        <v>70</v>
      </c>
      <c r="H508" s="2" t="s">
        <v>33</v>
      </c>
      <c r="I508" s="2" t="s">
        <v>19</v>
      </c>
      <c r="J508" s="3">
        <v>4110</v>
      </c>
      <c r="K508" s="5" t="s">
        <v>46</v>
      </c>
    </row>
    <row r="509" spans="1:11" ht="15.5" hidden="1" thickTop="1" thickBot="1" x14ac:dyDescent="0.4">
      <c r="A509" s="4" t="s">
        <v>57</v>
      </c>
      <c r="B509" s="2" t="s">
        <v>52</v>
      </c>
      <c r="C509" s="2" t="s">
        <v>13</v>
      </c>
      <c r="D509" s="2" t="s">
        <v>1157</v>
      </c>
      <c r="E509" s="2" t="s">
        <v>97</v>
      </c>
      <c r="F509" s="2" t="s">
        <v>95</v>
      </c>
      <c r="G509" s="2" t="s">
        <v>1158</v>
      </c>
      <c r="H509" s="2" t="s">
        <v>33</v>
      </c>
      <c r="I509" s="2" t="s">
        <v>19</v>
      </c>
      <c r="J509" s="3">
        <v>492245</v>
      </c>
      <c r="K509" s="5" t="s">
        <v>62</v>
      </c>
    </row>
    <row r="510" spans="1:11" ht="15.5" hidden="1" thickTop="1" thickBot="1" x14ac:dyDescent="0.4">
      <c r="A510" s="4" t="s">
        <v>11</v>
      </c>
      <c r="B510" s="2" t="s">
        <v>12</v>
      </c>
      <c r="C510" s="2" t="s">
        <v>63</v>
      </c>
      <c r="D510" s="2" t="s">
        <v>814</v>
      </c>
      <c r="E510" s="2" t="s">
        <v>1159</v>
      </c>
      <c r="F510" s="2" t="s">
        <v>353</v>
      </c>
      <c r="G510" s="2" t="s">
        <v>267</v>
      </c>
      <c r="H510" s="2" t="s">
        <v>33</v>
      </c>
      <c r="I510" s="2" t="s">
        <v>19</v>
      </c>
      <c r="J510" s="3">
        <v>2540</v>
      </c>
      <c r="K510" s="5" t="s">
        <v>46</v>
      </c>
    </row>
    <row r="511" spans="1:11" ht="15" hidden="1" thickTop="1" x14ac:dyDescent="0.35">
      <c r="A511" s="9" t="s">
        <v>11</v>
      </c>
      <c r="B511" s="10" t="s">
        <v>12</v>
      </c>
      <c r="C511" s="10" t="s">
        <v>13</v>
      </c>
      <c r="D511" s="10" t="s">
        <v>1160</v>
      </c>
      <c r="E511" s="10" t="s">
        <v>1161</v>
      </c>
      <c r="F511" s="10" t="s">
        <v>31</v>
      </c>
      <c r="G511" s="10" t="s">
        <v>1162</v>
      </c>
      <c r="H511" s="10" t="s">
        <v>33</v>
      </c>
      <c r="I511" s="10" t="s">
        <v>19</v>
      </c>
      <c r="J511" s="11">
        <v>57290</v>
      </c>
      <c r="K511" s="12" t="s">
        <v>1163</v>
      </c>
    </row>
    <row r="512" spans="1:11" ht="15" thickTop="1" x14ac:dyDescent="0.35"/>
  </sheetData>
  <mergeCells count="1">
    <mergeCell ref="A1:K1"/>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4DC5B-B1D6-4B3D-9FF2-B677CBDC7B98}">
  <dimension ref="F3:X36"/>
  <sheetViews>
    <sheetView topLeftCell="K4" zoomScale="70" workbookViewId="0">
      <selection activeCell="P36" sqref="P36"/>
    </sheetView>
  </sheetViews>
  <sheetFormatPr defaultRowHeight="14.5" x14ac:dyDescent="0.35"/>
  <cols>
    <col min="6" max="6" width="25.1796875" bestFit="1" customWidth="1"/>
    <col min="7" max="7" width="19" bestFit="1" customWidth="1"/>
    <col min="8" max="8" width="11.81640625" bestFit="1" customWidth="1"/>
    <col min="9" max="9" width="19" bestFit="1" customWidth="1"/>
    <col min="10" max="10" width="16.36328125" bestFit="1" customWidth="1"/>
    <col min="11" max="12" width="16.36328125" customWidth="1"/>
    <col min="13" max="13" width="19" bestFit="1" customWidth="1"/>
    <col min="14" max="14" width="17.81640625" bestFit="1" customWidth="1"/>
    <col min="15" max="22" width="20.7265625" bestFit="1" customWidth="1"/>
    <col min="23" max="23" width="20.90625" bestFit="1" customWidth="1"/>
    <col min="24" max="24" width="23.54296875" bestFit="1" customWidth="1"/>
    <col min="25" max="25" width="13.7265625" bestFit="1" customWidth="1"/>
    <col min="26" max="26" width="10.36328125" bestFit="1" customWidth="1"/>
  </cols>
  <sheetData>
    <row r="3" spans="6:24" x14ac:dyDescent="0.35">
      <c r="F3" s="13" t="s">
        <v>0</v>
      </c>
      <c r="G3" s="13" t="s">
        <v>1</v>
      </c>
      <c r="H3" s="13" t="s">
        <v>2</v>
      </c>
      <c r="I3" s="1" t="s">
        <v>1167</v>
      </c>
      <c r="M3" s="1"/>
      <c r="N3" s="1"/>
      <c r="O3" s="13" t="s">
        <v>1</v>
      </c>
      <c r="P3" s="13" t="s">
        <v>1183</v>
      </c>
      <c r="Q3" s="1"/>
      <c r="R3" s="1"/>
      <c r="S3" s="1"/>
      <c r="T3" s="1"/>
      <c r="U3" s="1"/>
      <c r="V3" s="1"/>
      <c r="W3" s="1"/>
      <c r="X3" s="1"/>
    </row>
    <row r="4" spans="6:24" x14ac:dyDescent="0.35">
      <c r="F4" s="26" t="s">
        <v>367</v>
      </c>
      <c r="G4" s="1" t="s">
        <v>75</v>
      </c>
      <c r="H4" s="1" t="s">
        <v>63</v>
      </c>
      <c r="I4" s="15">
        <v>82020</v>
      </c>
      <c r="M4" s="1"/>
      <c r="N4" s="1"/>
      <c r="O4" s="1" t="s">
        <v>52</v>
      </c>
      <c r="P4" s="1"/>
      <c r="Q4" s="1" t="s">
        <v>21</v>
      </c>
      <c r="R4" s="1"/>
      <c r="S4" s="1" t="s">
        <v>75</v>
      </c>
      <c r="T4" s="1"/>
      <c r="U4" s="1" t="s">
        <v>12</v>
      </c>
      <c r="V4" s="1"/>
      <c r="W4" s="1" t="s">
        <v>1184</v>
      </c>
      <c r="X4" s="1" t="s">
        <v>1185</v>
      </c>
    </row>
    <row r="5" spans="6:24" x14ac:dyDescent="0.35">
      <c r="F5" s="26"/>
      <c r="G5" s="1" t="s">
        <v>1168</v>
      </c>
      <c r="H5" s="1"/>
      <c r="I5" s="15">
        <v>82020</v>
      </c>
      <c r="M5" s="13" t="s">
        <v>7</v>
      </c>
      <c r="N5" s="13" t="s">
        <v>8</v>
      </c>
      <c r="O5" s="1" t="s">
        <v>1165</v>
      </c>
      <c r="P5" s="1" t="s">
        <v>1167</v>
      </c>
      <c r="Q5" s="1" t="s">
        <v>1165</v>
      </c>
      <c r="R5" s="1" t="s">
        <v>1167</v>
      </c>
      <c r="S5" s="1" t="s">
        <v>1165</v>
      </c>
      <c r="T5" s="1" t="s">
        <v>1167</v>
      </c>
      <c r="U5" s="1" t="s">
        <v>1165</v>
      </c>
      <c r="V5" s="1" t="s">
        <v>1167</v>
      </c>
      <c r="W5" s="1"/>
      <c r="X5" s="1"/>
    </row>
    <row r="6" spans="6:24" x14ac:dyDescent="0.35">
      <c r="F6" s="26" t="s">
        <v>1169</v>
      </c>
      <c r="G6" s="28"/>
      <c r="H6" s="28"/>
      <c r="I6" s="27">
        <v>82020</v>
      </c>
      <c r="M6" s="26" t="s">
        <v>56</v>
      </c>
      <c r="N6" s="1" t="s">
        <v>45</v>
      </c>
      <c r="O6" s="15">
        <v>1</v>
      </c>
      <c r="P6" s="15">
        <v>210</v>
      </c>
      <c r="Q6" s="15">
        <v>1</v>
      </c>
      <c r="R6" s="15">
        <v>9030</v>
      </c>
      <c r="S6" s="15">
        <v>1</v>
      </c>
      <c r="T6" s="15">
        <v>12659</v>
      </c>
      <c r="U6" s="15">
        <v>7</v>
      </c>
      <c r="V6" s="15">
        <v>46029</v>
      </c>
      <c r="W6" s="15">
        <v>10</v>
      </c>
      <c r="X6" s="15">
        <v>67928</v>
      </c>
    </row>
    <row r="7" spans="6:24" x14ac:dyDescent="0.35">
      <c r="F7" s="26" t="s">
        <v>11</v>
      </c>
      <c r="G7" s="1" t="s">
        <v>52</v>
      </c>
      <c r="H7" s="1" t="s">
        <v>13</v>
      </c>
      <c r="I7" s="15">
        <v>101021</v>
      </c>
      <c r="M7" s="26"/>
      <c r="N7" s="1" t="s">
        <v>19</v>
      </c>
      <c r="O7" s="15">
        <v>1</v>
      </c>
      <c r="P7" s="15">
        <v>17471</v>
      </c>
      <c r="Q7" s="15">
        <v>0</v>
      </c>
      <c r="R7" s="15">
        <v>0</v>
      </c>
      <c r="S7" s="15">
        <v>5</v>
      </c>
      <c r="T7" s="15">
        <v>84514</v>
      </c>
      <c r="U7" s="15">
        <v>1</v>
      </c>
      <c r="V7" s="15">
        <v>9320</v>
      </c>
      <c r="W7" s="15">
        <v>7</v>
      </c>
      <c r="X7" s="15">
        <v>111305</v>
      </c>
    </row>
    <row r="8" spans="6:24" x14ac:dyDescent="0.35">
      <c r="F8" s="26"/>
      <c r="G8" s="1"/>
      <c r="H8" s="1" t="s">
        <v>28</v>
      </c>
      <c r="I8" s="15">
        <v>59350</v>
      </c>
      <c r="M8" s="26" t="s">
        <v>1175</v>
      </c>
      <c r="N8" s="26"/>
      <c r="O8" s="27">
        <v>2</v>
      </c>
      <c r="P8" s="27">
        <v>17681</v>
      </c>
      <c r="Q8" s="27">
        <v>1</v>
      </c>
      <c r="R8" s="27">
        <v>9030</v>
      </c>
      <c r="S8" s="27">
        <v>6</v>
      </c>
      <c r="T8" s="27">
        <v>97173</v>
      </c>
      <c r="U8" s="27">
        <v>8</v>
      </c>
      <c r="V8" s="27">
        <v>55349</v>
      </c>
      <c r="W8" s="27">
        <v>17</v>
      </c>
      <c r="X8" s="27">
        <v>179233</v>
      </c>
    </row>
    <row r="9" spans="6:24" x14ac:dyDescent="0.35">
      <c r="F9" s="26"/>
      <c r="G9" s="1"/>
      <c r="H9" s="1" t="s">
        <v>63</v>
      </c>
      <c r="I9" s="15">
        <v>224880</v>
      </c>
      <c r="M9" s="26" t="s">
        <v>116</v>
      </c>
      <c r="N9" s="1" t="s">
        <v>45</v>
      </c>
      <c r="O9" s="15">
        <v>0</v>
      </c>
      <c r="P9" s="15">
        <v>0</v>
      </c>
      <c r="Q9" s="15">
        <v>2</v>
      </c>
      <c r="R9" s="15">
        <v>13310</v>
      </c>
      <c r="S9" s="15">
        <v>1</v>
      </c>
      <c r="T9" s="15">
        <v>1910</v>
      </c>
      <c r="U9" s="15">
        <v>1</v>
      </c>
      <c r="V9" s="15">
        <v>90</v>
      </c>
      <c r="W9" s="15">
        <v>4</v>
      </c>
      <c r="X9" s="15">
        <v>15310</v>
      </c>
    </row>
    <row r="10" spans="6:24" x14ac:dyDescent="0.35">
      <c r="F10" s="26"/>
      <c r="G10" s="26" t="s">
        <v>1170</v>
      </c>
      <c r="H10" s="26"/>
      <c r="I10" s="27">
        <v>385251</v>
      </c>
      <c r="M10" s="26"/>
      <c r="N10" s="1" t="s">
        <v>19</v>
      </c>
      <c r="O10" s="15">
        <v>0</v>
      </c>
      <c r="P10" s="15">
        <v>0</v>
      </c>
      <c r="Q10" s="15">
        <v>0</v>
      </c>
      <c r="R10" s="15">
        <v>0</v>
      </c>
      <c r="S10" s="15">
        <v>0</v>
      </c>
      <c r="T10" s="15">
        <v>0</v>
      </c>
      <c r="U10" s="15">
        <v>5</v>
      </c>
      <c r="V10" s="15">
        <v>77862</v>
      </c>
      <c r="W10" s="15">
        <v>5</v>
      </c>
      <c r="X10" s="15">
        <v>77862</v>
      </c>
    </row>
    <row r="11" spans="6:24" x14ac:dyDescent="0.35">
      <c r="F11" s="26"/>
      <c r="G11" s="1" t="s">
        <v>21</v>
      </c>
      <c r="H11" s="1" t="s">
        <v>13</v>
      </c>
      <c r="I11" s="15">
        <v>898536</v>
      </c>
      <c r="M11" s="26" t="s">
        <v>1176</v>
      </c>
      <c r="N11" s="26"/>
      <c r="O11" s="27">
        <v>0</v>
      </c>
      <c r="P11" s="27">
        <v>0</v>
      </c>
      <c r="Q11" s="27">
        <v>2</v>
      </c>
      <c r="R11" s="27">
        <v>13310</v>
      </c>
      <c r="S11" s="27">
        <v>1</v>
      </c>
      <c r="T11" s="27">
        <v>1910</v>
      </c>
      <c r="U11" s="27">
        <v>6</v>
      </c>
      <c r="V11" s="27">
        <v>77952</v>
      </c>
      <c r="W11" s="27">
        <v>9</v>
      </c>
      <c r="X11" s="27">
        <v>93172</v>
      </c>
    </row>
    <row r="12" spans="6:24" x14ac:dyDescent="0.35">
      <c r="F12" s="26"/>
      <c r="G12" s="1"/>
      <c r="H12" s="1" t="s">
        <v>28</v>
      </c>
      <c r="I12" s="15">
        <v>1160341</v>
      </c>
      <c r="M12" s="26" t="s">
        <v>44</v>
      </c>
      <c r="N12" s="1" t="s">
        <v>45</v>
      </c>
      <c r="O12" s="15">
        <v>2</v>
      </c>
      <c r="P12" s="15">
        <v>4390</v>
      </c>
      <c r="Q12" s="15">
        <v>7</v>
      </c>
      <c r="R12" s="15">
        <v>194850</v>
      </c>
      <c r="S12" s="15">
        <v>4</v>
      </c>
      <c r="T12" s="15">
        <v>25677</v>
      </c>
      <c r="U12" s="15">
        <v>21</v>
      </c>
      <c r="V12" s="15">
        <v>239221</v>
      </c>
      <c r="W12" s="15">
        <v>34</v>
      </c>
      <c r="X12" s="15">
        <v>464138</v>
      </c>
    </row>
    <row r="13" spans="6:24" x14ac:dyDescent="0.35">
      <c r="F13" s="26"/>
      <c r="G13" s="1"/>
      <c r="H13" s="1" t="s">
        <v>63</v>
      </c>
      <c r="I13" s="15">
        <v>578100</v>
      </c>
      <c r="M13" s="26"/>
      <c r="N13" s="1" t="s">
        <v>19</v>
      </c>
      <c r="O13" s="15">
        <v>1</v>
      </c>
      <c r="P13" s="15">
        <v>53700</v>
      </c>
      <c r="Q13" s="15">
        <v>6</v>
      </c>
      <c r="R13" s="15">
        <v>423260</v>
      </c>
      <c r="S13" s="15">
        <v>5</v>
      </c>
      <c r="T13" s="15">
        <v>543800</v>
      </c>
      <c r="U13" s="15">
        <v>31</v>
      </c>
      <c r="V13" s="15">
        <v>1550450</v>
      </c>
      <c r="W13" s="15">
        <v>43</v>
      </c>
      <c r="X13" s="15">
        <v>2571210</v>
      </c>
    </row>
    <row r="14" spans="6:24" x14ac:dyDescent="0.35">
      <c r="F14" s="26"/>
      <c r="G14" s="26" t="s">
        <v>1171</v>
      </c>
      <c r="H14" s="26"/>
      <c r="I14" s="27">
        <v>2636977</v>
      </c>
      <c r="M14" s="26" t="s">
        <v>1177</v>
      </c>
      <c r="N14" s="26"/>
      <c r="O14" s="27">
        <v>3</v>
      </c>
      <c r="P14" s="27">
        <v>58090</v>
      </c>
      <c r="Q14" s="27">
        <v>13</v>
      </c>
      <c r="R14" s="27">
        <v>618110</v>
      </c>
      <c r="S14" s="27">
        <v>9</v>
      </c>
      <c r="T14" s="27">
        <v>569477</v>
      </c>
      <c r="U14" s="27">
        <v>52</v>
      </c>
      <c r="V14" s="27">
        <v>1789671</v>
      </c>
      <c r="W14" s="27">
        <v>77</v>
      </c>
      <c r="X14" s="27">
        <v>3035348</v>
      </c>
    </row>
    <row r="15" spans="6:24" x14ac:dyDescent="0.35">
      <c r="F15" s="26"/>
      <c r="G15" s="1" t="s">
        <v>75</v>
      </c>
      <c r="H15" s="1" t="s">
        <v>13</v>
      </c>
      <c r="I15" s="15">
        <v>93257</v>
      </c>
      <c r="M15" s="26" t="s">
        <v>88</v>
      </c>
      <c r="N15" s="1" t="s">
        <v>45</v>
      </c>
      <c r="O15" s="15">
        <v>1</v>
      </c>
      <c r="P15" s="15">
        <v>2840</v>
      </c>
      <c r="Q15" s="15">
        <v>4</v>
      </c>
      <c r="R15" s="15">
        <v>80970</v>
      </c>
      <c r="S15" s="15">
        <v>1</v>
      </c>
      <c r="T15" s="15">
        <v>3810</v>
      </c>
      <c r="U15" s="15">
        <v>15</v>
      </c>
      <c r="V15" s="15">
        <v>328323</v>
      </c>
      <c r="W15" s="15">
        <v>21</v>
      </c>
      <c r="X15" s="15">
        <v>415943</v>
      </c>
    </row>
    <row r="16" spans="6:24" x14ac:dyDescent="0.35">
      <c r="F16" s="26"/>
      <c r="G16" s="1"/>
      <c r="H16" s="1" t="s">
        <v>28</v>
      </c>
      <c r="I16" s="15">
        <v>1370328</v>
      </c>
      <c r="M16" s="26"/>
      <c r="N16" s="1" t="s">
        <v>19</v>
      </c>
      <c r="O16" s="15">
        <v>1</v>
      </c>
      <c r="P16" s="15">
        <v>93580</v>
      </c>
      <c r="Q16" s="15">
        <v>1</v>
      </c>
      <c r="R16" s="15">
        <v>300070</v>
      </c>
      <c r="S16" s="15">
        <v>10</v>
      </c>
      <c r="T16" s="15">
        <v>460787</v>
      </c>
      <c r="U16" s="15">
        <v>25</v>
      </c>
      <c r="V16" s="15">
        <v>1115335</v>
      </c>
      <c r="W16" s="15">
        <v>37</v>
      </c>
      <c r="X16" s="15">
        <v>1969772</v>
      </c>
    </row>
    <row r="17" spans="6:24" x14ac:dyDescent="0.35">
      <c r="F17" s="26"/>
      <c r="G17" s="1"/>
      <c r="H17" s="1" t="s">
        <v>63</v>
      </c>
      <c r="I17" s="15">
        <v>136624</v>
      </c>
      <c r="M17" s="26" t="s">
        <v>1178</v>
      </c>
      <c r="N17" s="26"/>
      <c r="O17" s="27">
        <v>2</v>
      </c>
      <c r="P17" s="27">
        <v>96420</v>
      </c>
      <c r="Q17" s="27">
        <v>5</v>
      </c>
      <c r="R17" s="27">
        <v>381040</v>
      </c>
      <c r="S17" s="27">
        <v>11</v>
      </c>
      <c r="T17" s="27">
        <v>464597</v>
      </c>
      <c r="U17" s="27">
        <v>40</v>
      </c>
      <c r="V17" s="27">
        <v>1443658</v>
      </c>
      <c r="W17" s="27">
        <v>58</v>
      </c>
      <c r="X17" s="27">
        <v>2385715</v>
      </c>
    </row>
    <row r="18" spans="6:24" x14ac:dyDescent="0.35">
      <c r="F18" s="26"/>
      <c r="G18" s="26" t="s">
        <v>1168</v>
      </c>
      <c r="H18" s="26"/>
      <c r="I18" s="27">
        <v>1600209</v>
      </c>
      <c r="M18" s="26" t="s">
        <v>231</v>
      </c>
      <c r="N18" s="1" t="s">
        <v>45</v>
      </c>
      <c r="O18" s="15">
        <v>0</v>
      </c>
      <c r="P18" s="15">
        <v>0</v>
      </c>
      <c r="Q18" s="15">
        <v>1</v>
      </c>
      <c r="R18" s="15">
        <v>1260</v>
      </c>
      <c r="S18" s="15">
        <v>0</v>
      </c>
      <c r="T18" s="15">
        <v>0</v>
      </c>
      <c r="U18" s="15">
        <v>2</v>
      </c>
      <c r="V18" s="15">
        <v>76220</v>
      </c>
      <c r="W18" s="15">
        <v>3</v>
      </c>
      <c r="X18" s="15">
        <v>77480</v>
      </c>
    </row>
    <row r="19" spans="6:24" x14ac:dyDescent="0.35">
      <c r="F19" s="26"/>
      <c r="G19" s="1" t="s">
        <v>12</v>
      </c>
      <c r="H19" s="1" t="s">
        <v>13</v>
      </c>
      <c r="I19" s="15">
        <v>2951570</v>
      </c>
      <c r="M19" s="26" t="s">
        <v>1179</v>
      </c>
      <c r="N19" s="26"/>
      <c r="O19" s="27">
        <v>0</v>
      </c>
      <c r="P19" s="27">
        <v>0</v>
      </c>
      <c r="Q19" s="27">
        <v>1</v>
      </c>
      <c r="R19" s="27">
        <v>1260</v>
      </c>
      <c r="S19" s="27">
        <v>0</v>
      </c>
      <c r="T19" s="27">
        <v>0</v>
      </c>
      <c r="U19" s="27">
        <v>2</v>
      </c>
      <c r="V19" s="27">
        <v>76220</v>
      </c>
      <c r="W19" s="27">
        <v>3</v>
      </c>
      <c r="X19" s="27">
        <v>77480</v>
      </c>
    </row>
    <row r="20" spans="6:24" x14ac:dyDescent="0.35">
      <c r="F20" s="26"/>
      <c r="G20" s="1"/>
      <c r="H20" s="1" t="s">
        <v>28</v>
      </c>
      <c r="I20" s="15">
        <v>7637307</v>
      </c>
      <c r="M20" s="26" t="s">
        <v>26</v>
      </c>
      <c r="N20" s="1" t="s">
        <v>45</v>
      </c>
      <c r="O20" s="15">
        <v>0</v>
      </c>
      <c r="P20" s="15">
        <v>0</v>
      </c>
      <c r="Q20" s="15">
        <v>0</v>
      </c>
      <c r="R20" s="15">
        <v>0</v>
      </c>
      <c r="S20" s="15">
        <v>0</v>
      </c>
      <c r="T20" s="15">
        <v>0</v>
      </c>
      <c r="U20" s="15">
        <v>2</v>
      </c>
      <c r="V20" s="15">
        <v>720</v>
      </c>
      <c r="W20" s="15">
        <v>2</v>
      </c>
      <c r="X20" s="15">
        <v>720</v>
      </c>
    </row>
    <row r="21" spans="6:24" x14ac:dyDescent="0.35">
      <c r="F21" s="26"/>
      <c r="G21" s="1"/>
      <c r="H21" s="1" t="s">
        <v>63</v>
      </c>
      <c r="I21" s="15">
        <v>2050188</v>
      </c>
      <c r="M21" s="26"/>
      <c r="N21" s="1" t="s">
        <v>19</v>
      </c>
      <c r="O21" s="15">
        <v>0</v>
      </c>
      <c r="P21" s="15">
        <v>0</v>
      </c>
      <c r="Q21" s="15">
        <v>1</v>
      </c>
      <c r="R21" s="15">
        <v>155030</v>
      </c>
      <c r="S21" s="15">
        <v>1</v>
      </c>
      <c r="T21" s="15">
        <v>99620</v>
      </c>
      <c r="U21" s="15">
        <v>1</v>
      </c>
      <c r="V21" s="15">
        <v>21030</v>
      </c>
      <c r="W21" s="15">
        <v>3</v>
      </c>
      <c r="X21" s="15">
        <v>275680</v>
      </c>
    </row>
    <row r="22" spans="6:24" x14ac:dyDescent="0.35">
      <c r="F22" s="26"/>
      <c r="G22" s="26" t="s">
        <v>1172</v>
      </c>
      <c r="H22" s="26"/>
      <c r="I22" s="27">
        <v>12639065</v>
      </c>
      <c r="M22" s="26" t="s">
        <v>1180</v>
      </c>
      <c r="N22" s="26"/>
      <c r="O22" s="27">
        <v>0</v>
      </c>
      <c r="P22" s="27">
        <v>0</v>
      </c>
      <c r="Q22" s="27">
        <v>1</v>
      </c>
      <c r="R22" s="27">
        <v>155030</v>
      </c>
      <c r="S22" s="27">
        <v>1</v>
      </c>
      <c r="T22" s="27">
        <v>99620</v>
      </c>
      <c r="U22" s="27">
        <v>3</v>
      </c>
      <c r="V22" s="27">
        <v>21750</v>
      </c>
      <c r="W22" s="27">
        <v>5</v>
      </c>
      <c r="X22" s="27">
        <v>276400</v>
      </c>
    </row>
    <row r="23" spans="6:24" x14ac:dyDescent="0.35">
      <c r="F23" s="26" t="s">
        <v>1173</v>
      </c>
      <c r="G23" s="1"/>
      <c r="H23" s="1"/>
      <c r="I23" s="15">
        <v>17261502</v>
      </c>
      <c r="M23" s="26" t="s">
        <v>18</v>
      </c>
      <c r="N23" s="1" t="s">
        <v>45</v>
      </c>
      <c r="O23" s="15">
        <v>0</v>
      </c>
      <c r="P23" s="15">
        <v>0</v>
      </c>
      <c r="Q23" s="15">
        <v>1</v>
      </c>
      <c r="R23" s="15">
        <v>14460</v>
      </c>
      <c r="S23" s="15">
        <v>0</v>
      </c>
      <c r="T23" s="15">
        <v>0</v>
      </c>
      <c r="U23" s="15">
        <v>3</v>
      </c>
      <c r="V23" s="15">
        <v>106270</v>
      </c>
      <c r="W23" s="15">
        <v>4</v>
      </c>
      <c r="X23" s="15">
        <v>120730</v>
      </c>
    </row>
    <row r="24" spans="6:24" x14ac:dyDescent="0.35">
      <c r="F24" s="26" t="s">
        <v>57</v>
      </c>
      <c r="G24" s="1" t="s">
        <v>52</v>
      </c>
      <c r="H24" s="1" t="s">
        <v>13</v>
      </c>
      <c r="I24" s="15">
        <v>585825</v>
      </c>
      <c r="M24" s="26"/>
      <c r="N24" s="1" t="s">
        <v>19</v>
      </c>
      <c r="O24" s="15">
        <v>0</v>
      </c>
      <c r="P24" s="15">
        <v>0</v>
      </c>
      <c r="Q24" s="15">
        <v>5</v>
      </c>
      <c r="R24" s="15">
        <v>613340</v>
      </c>
      <c r="S24" s="15">
        <v>5</v>
      </c>
      <c r="T24" s="15">
        <v>151360</v>
      </c>
      <c r="U24" s="15">
        <v>14</v>
      </c>
      <c r="V24" s="15">
        <v>2784436</v>
      </c>
      <c r="W24" s="15">
        <v>24</v>
      </c>
      <c r="X24" s="15">
        <v>3549136</v>
      </c>
    </row>
    <row r="25" spans="6:24" x14ac:dyDescent="0.35">
      <c r="F25" s="26"/>
      <c r="G25" s="26" t="s">
        <v>1170</v>
      </c>
      <c r="H25" s="26"/>
      <c r="I25" s="27">
        <v>585825</v>
      </c>
      <c r="M25" s="26" t="s">
        <v>1181</v>
      </c>
      <c r="N25" s="26"/>
      <c r="O25" s="27">
        <v>0</v>
      </c>
      <c r="P25" s="27">
        <v>0</v>
      </c>
      <c r="Q25" s="27">
        <v>6</v>
      </c>
      <c r="R25" s="27">
        <v>627800</v>
      </c>
      <c r="S25" s="27">
        <v>5</v>
      </c>
      <c r="T25" s="27">
        <v>151360</v>
      </c>
      <c r="U25" s="27">
        <v>17</v>
      </c>
      <c r="V25" s="27">
        <v>2890706</v>
      </c>
      <c r="W25" s="27">
        <v>28</v>
      </c>
      <c r="X25" s="27">
        <v>3669866</v>
      </c>
    </row>
    <row r="26" spans="6:24" x14ac:dyDescent="0.35">
      <c r="F26" s="26"/>
      <c r="G26" s="1" t="s">
        <v>21</v>
      </c>
      <c r="H26" s="1" t="s">
        <v>28</v>
      </c>
      <c r="I26" s="15">
        <v>910</v>
      </c>
      <c r="M26" s="26" t="s">
        <v>33</v>
      </c>
      <c r="N26" s="1" t="s">
        <v>45</v>
      </c>
      <c r="O26" s="15">
        <v>1</v>
      </c>
      <c r="P26" s="15">
        <v>1050</v>
      </c>
      <c r="Q26" s="15">
        <v>21</v>
      </c>
      <c r="R26" s="15">
        <v>32437</v>
      </c>
      <c r="S26" s="15">
        <v>29</v>
      </c>
      <c r="T26" s="15">
        <v>91994</v>
      </c>
      <c r="U26" s="15">
        <v>124</v>
      </c>
      <c r="V26" s="15">
        <v>598467</v>
      </c>
      <c r="W26" s="15">
        <v>175</v>
      </c>
      <c r="X26" s="15">
        <v>723948</v>
      </c>
    </row>
    <row r="27" spans="6:24" x14ac:dyDescent="0.35">
      <c r="F27" s="26"/>
      <c r="G27" s="26" t="s">
        <v>1171</v>
      </c>
      <c r="H27" s="26"/>
      <c r="I27" s="27">
        <v>910</v>
      </c>
      <c r="M27" s="26"/>
      <c r="N27" s="1" t="s">
        <v>19</v>
      </c>
      <c r="O27" s="15">
        <v>3</v>
      </c>
      <c r="P27" s="15">
        <v>797835</v>
      </c>
      <c r="Q27" s="15">
        <v>12</v>
      </c>
      <c r="R27" s="15">
        <v>799870</v>
      </c>
      <c r="S27" s="15">
        <v>18</v>
      </c>
      <c r="T27" s="15">
        <v>549260</v>
      </c>
      <c r="U27" s="15">
        <v>104</v>
      </c>
      <c r="V27" s="15">
        <v>6070193</v>
      </c>
      <c r="W27" s="15">
        <v>137</v>
      </c>
      <c r="X27" s="15">
        <v>8217158</v>
      </c>
    </row>
    <row r="28" spans="6:24" x14ac:dyDescent="0.35">
      <c r="F28" s="26"/>
      <c r="G28" s="1" t="s">
        <v>75</v>
      </c>
      <c r="H28" s="1" t="s">
        <v>13</v>
      </c>
      <c r="I28" s="15">
        <v>3890</v>
      </c>
      <c r="M28" s="26" t="s">
        <v>1182</v>
      </c>
      <c r="N28" s="26"/>
      <c r="O28" s="27">
        <v>4</v>
      </c>
      <c r="P28" s="27">
        <v>798885</v>
      </c>
      <c r="Q28" s="27">
        <v>33</v>
      </c>
      <c r="R28" s="27">
        <v>832307</v>
      </c>
      <c r="S28" s="27">
        <v>47</v>
      </c>
      <c r="T28" s="27">
        <v>641254</v>
      </c>
      <c r="U28" s="27">
        <v>228</v>
      </c>
      <c r="V28" s="27">
        <v>6668660</v>
      </c>
      <c r="W28" s="27">
        <v>312</v>
      </c>
      <c r="X28" s="27">
        <v>8941106</v>
      </c>
    </row>
    <row r="29" spans="6:24" x14ac:dyDescent="0.35">
      <c r="F29" s="26"/>
      <c r="G29" s="1"/>
      <c r="H29" s="1" t="s">
        <v>28</v>
      </c>
      <c r="I29" s="15">
        <v>339272</v>
      </c>
      <c r="M29" s="1" t="s">
        <v>1166</v>
      </c>
      <c r="N29" s="1"/>
      <c r="O29" s="15">
        <v>11</v>
      </c>
      <c r="P29" s="15">
        <v>971076</v>
      </c>
      <c r="Q29" s="15">
        <v>62</v>
      </c>
      <c r="R29" s="15">
        <v>2637887</v>
      </c>
      <c r="S29" s="15">
        <v>80</v>
      </c>
      <c r="T29" s="15">
        <v>2025391</v>
      </c>
      <c r="U29" s="15">
        <v>356</v>
      </c>
      <c r="V29" s="15">
        <v>13023966</v>
      </c>
      <c r="W29" s="15">
        <v>509</v>
      </c>
      <c r="X29" s="15">
        <v>18658320</v>
      </c>
    </row>
    <row r="30" spans="6:24" x14ac:dyDescent="0.35">
      <c r="F30" s="26"/>
      <c r="G30" s="26" t="s">
        <v>1168</v>
      </c>
      <c r="H30" s="26"/>
      <c r="I30" s="27">
        <v>343162</v>
      </c>
    </row>
    <row r="31" spans="6:24" x14ac:dyDescent="0.35">
      <c r="F31" s="26"/>
      <c r="G31" s="1" t="s">
        <v>12</v>
      </c>
      <c r="H31" s="1" t="s">
        <v>13</v>
      </c>
      <c r="I31" s="15">
        <v>112280</v>
      </c>
    </row>
    <row r="32" spans="6:24" x14ac:dyDescent="0.35">
      <c r="F32" s="26"/>
      <c r="G32" s="1"/>
      <c r="H32" s="1" t="s">
        <v>28</v>
      </c>
      <c r="I32" s="15">
        <v>210571</v>
      </c>
    </row>
    <row r="33" spans="6:9" x14ac:dyDescent="0.35">
      <c r="F33" s="26"/>
      <c r="G33" s="1"/>
      <c r="H33" s="1" t="s">
        <v>63</v>
      </c>
      <c r="I33" s="15">
        <v>62050</v>
      </c>
    </row>
    <row r="34" spans="6:9" x14ac:dyDescent="0.35">
      <c r="F34" s="26"/>
      <c r="G34" s="26" t="s">
        <v>1172</v>
      </c>
      <c r="H34" s="26"/>
      <c r="I34" s="27">
        <v>384901</v>
      </c>
    </row>
    <row r="35" spans="6:9" x14ac:dyDescent="0.35">
      <c r="F35" s="26" t="s">
        <v>1174</v>
      </c>
      <c r="G35" s="26"/>
      <c r="H35" s="26"/>
      <c r="I35" s="27">
        <v>1314798</v>
      </c>
    </row>
    <row r="36" spans="6:9" x14ac:dyDescent="0.35">
      <c r="F36" s="1" t="s">
        <v>1166</v>
      </c>
      <c r="G36" s="1"/>
      <c r="H36" s="1"/>
      <c r="I36" s="15">
        <v>18658320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97D4E-4742-46F4-BC4C-25DCDF625F78}">
  <dimension ref="A1:K37"/>
  <sheetViews>
    <sheetView tabSelected="1" zoomScale="71" workbookViewId="0">
      <selection activeCell="B36" sqref="B36"/>
    </sheetView>
  </sheetViews>
  <sheetFormatPr defaultRowHeight="14.5" x14ac:dyDescent="0.35"/>
  <cols>
    <col min="1" max="1" width="22.6328125" bestFit="1" customWidth="1"/>
    <col min="2" max="2" width="72.26953125" bestFit="1" customWidth="1"/>
    <col min="3" max="3" width="38.81640625" bestFit="1" customWidth="1"/>
    <col min="4" max="4" width="41.36328125" bestFit="1" customWidth="1"/>
    <col min="5" max="5" width="12.54296875" bestFit="1" customWidth="1"/>
    <col min="6" max="6" width="84.453125" bestFit="1" customWidth="1"/>
    <col min="7" max="7" width="12.54296875" bestFit="1" customWidth="1"/>
    <col min="8" max="8" width="19.1796875" bestFit="1" customWidth="1"/>
    <col min="9" max="9" width="12.453125" bestFit="1" customWidth="1"/>
    <col min="10" max="10" width="14.1796875" bestFit="1" customWidth="1"/>
    <col min="11" max="11" width="18.1796875" bestFit="1" customWidth="1"/>
    <col min="12" max="12" width="72.26953125" bestFit="1" customWidth="1"/>
  </cols>
  <sheetData>
    <row r="1" spans="1:11" ht="22" thickTop="1" thickBot="1" x14ac:dyDescent="0.4">
      <c r="A1" s="16" t="s">
        <v>0</v>
      </c>
      <c r="B1" s="16" t="s">
        <v>10</v>
      </c>
      <c r="C1" s="16" t="s">
        <v>1</v>
      </c>
      <c r="D1" s="16" t="s">
        <v>2</v>
      </c>
      <c r="E1" s="16" t="s">
        <v>3</v>
      </c>
      <c r="F1" s="16" t="s">
        <v>4</v>
      </c>
      <c r="G1" s="16" t="s">
        <v>5</v>
      </c>
      <c r="H1" s="16" t="s">
        <v>6</v>
      </c>
      <c r="I1" s="16" t="s">
        <v>7</v>
      </c>
      <c r="J1" s="16" t="s">
        <v>8</v>
      </c>
      <c r="K1" s="16" t="s">
        <v>9</v>
      </c>
    </row>
    <row r="2" spans="1:11" ht="15.5" thickTop="1" thickBot="1" x14ac:dyDescent="0.4">
      <c r="A2" s="17" t="s">
        <v>11</v>
      </c>
      <c r="B2" s="17" t="s">
        <v>20</v>
      </c>
      <c r="C2" s="17" t="s">
        <v>12</v>
      </c>
      <c r="D2" s="17" t="s">
        <v>13</v>
      </c>
      <c r="E2" s="17" t="s">
        <v>14</v>
      </c>
      <c r="F2" s="17" t="s">
        <v>15</v>
      </c>
      <c r="G2" s="17" t="s">
        <v>16</v>
      </c>
      <c r="H2" s="17" t="s">
        <v>17</v>
      </c>
      <c r="I2" s="17" t="s">
        <v>18</v>
      </c>
      <c r="J2" s="17" t="s">
        <v>19</v>
      </c>
      <c r="K2" s="17">
        <v>35244</v>
      </c>
    </row>
    <row r="3" spans="1:11" ht="15.5" thickTop="1" thickBot="1" x14ac:dyDescent="0.4">
      <c r="A3" s="17" t="s">
        <v>11</v>
      </c>
      <c r="B3" s="17" t="s">
        <v>27</v>
      </c>
      <c r="C3" s="17" t="s">
        <v>21</v>
      </c>
      <c r="D3" s="17" t="s">
        <v>13</v>
      </c>
      <c r="E3" s="17" t="s">
        <v>22</v>
      </c>
      <c r="F3" s="17" t="s">
        <v>23</v>
      </c>
      <c r="G3" s="17" t="s">
        <v>24</v>
      </c>
      <c r="H3" s="17" t="s">
        <v>25</v>
      </c>
      <c r="I3" s="17" t="s">
        <v>26</v>
      </c>
      <c r="J3" s="17" t="s">
        <v>19</v>
      </c>
      <c r="K3" s="18">
        <v>155030</v>
      </c>
    </row>
    <row r="4" spans="1:11" ht="15.5" thickTop="1" thickBot="1" x14ac:dyDescent="0.4">
      <c r="A4" s="17" t="s">
        <v>11</v>
      </c>
      <c r="B4" s="17" t="s">
        <v>34</v>
      </c>
      <c r="C4" s="17" t="s">
        <v>12</v>
      </c>
      <c r="D4" s="17" t="s">
        <v>28</v>
      </c>
      <c r="E4" s="17" t="s">
        <v>29</v>
      </c>
      <c r="F4" s="17" t="s">
        <v>30</v>
      </c>
      <c r="G4" s="17" t="s">
        <v>31</v>
      </c>
      <c r="H4" s="17" t="s">
        <v>32</v>
      </c>
      <c r="I4" s="17" t="s">
        <v>33</v>
      </c>
      <c r="J4" s="17" t="s">
        <v>19</v>
      </c>
      <c r="K4" s="18">
        <v>25930</v>
      </c>
    </row>
    <row r="5" spans="1:11" ht="15.5" thickTop="1" thickBot="1" x14ac:dyDescent="0.4">
      <c r="A5" s="17" t="s">
        <v>11</v>
      </c>
      <c r="B5" s="17" t="s">
        <v>39</v>
      </c>
      <c r="C5" s="17" t="s">
        <v>12</v>
      </c>
      <c r="D5" s="17" t="s">
        <v>13</v>
      </c>
      <c r="E5" s="17" t="s">
        <v>35</v>
      </c>
      <c r="F5" s="17" t="s">
        <v>36</v>
      </c>
      <c r="G5" s="17" t="s">
        <v>37</v>
      </c>
      <c r="H5" s="17" t="s">
        <v>38</v>
      </c>
      <c r="I5" s="17" t="s">
        <v>33</v>
      </c>
      <c r="J5" s="17" t="s">
        <v>19</v>
      </c>
      <c r="K5" s="18">
        <v>34690</v>
      </c>
    </row>
    <row r="6" spans="1:11" ht="15.5" thickTop="1" thickBot="1" x14ac:dyDescent="0.4">
      <c r="A6" s="17" t="s">
        <v>11</v>
      </c>
      <c r="B6" s="17" t="s">
        <v>46</v>
      </c>
      <c r="C6" s="17" t="s">
        <v>12</v>
      </c>
      <c r="D6" s="17" t="s">
        <v>28</v>
      </c>
      <c r="E6" s="17" t="s">
        <v>40</v>
      </c>
      <c r="F6" s="17" t="s">
        <v>41</v>
      </c>
      <c r="G6" s="17" t="s">
        <v>42</v>
      </c>
      <c r="H6" s="17" t="s">
        <v>43</v>
      </c>
      <c r="I6" s="17" t="s">
        <v>44</v>
      </c>
      <c r="J6" s="17" t="s">
        <v>45</v>
      </c>
      <c r="K6" s="18">
        <v>1800</v>
      </c>
    </row>
    <row r="7" spans="1:11" ht="15.5" thickTop="1" thickBot="1" x14ac:dyDescent="0.4">
      <c r="A7" s="17" t="s">
        <v>11</v>
      </c>
      <c r="B7" s="17" t="s">
        <v>51</v>
      </c>
      <c r="C7" s="17" t="s">
        <v>21</v>
      </c>
      <c r="D7" s="17" t="s">
        <v>13</v>
      </c>
      <c r="E7" s="17" t="s">
        <v>47</v>
      </c>
      <c r="F7" s="17" t="s">
        <v>48</v>
      </c>
      <c r="G7" s="17" t="s">
        <v>49</v>
      </c>
      <c r="H7" s="17" t="s">
        <v>50</v>
      </c>
      <c r="I7" s="17" t="s">
        <v>33</v>
      </c>
      <c r="J7" s="17" t="s">
        <v>45</v>
      </c>
      <c r="K7" s="17">
        <v>150</v>
      </c>
    </row>
    <row r="8" spans="1:11" ht="15.5" thickTop="1" thickBot="1" x14ac:dyDescent="0.4">
      <c r="A8" s="17" t="s">
        <v>11</v>
      </c>
      <c r="B8" s="17" t="s">
        <v>46</v>
      </c>
      <c r="C8" s="17" t="s">
        <v>52</v>
      </c>
      <c r="D8" s="17" t="s">
        <v>13</v>
      </c>
      <c r="E8" s="17" t="s">
        <v>53</v>
      </c>
      <c r="F8" s="17" t="s">
        <v>54</v>
      </c>
      <c r="G8" s="17" t="s">
        <v>24</v>
      </c>
      <c r="H8" s="17" t="s">
        <v>55</v>
      </c>
      <c r="I8" s="17" t="s">
        <v>56</v>
      </c>
      <c r="J8" s="17" t="s">
        <v>19</v>
      </c>
      <c r="K8" s="18">
        <v>17471</v>
      </c>
    </row>
    <row r="9" spans="1:11" ht="15.5" thickTop="1" thickBot="1" x14ac:dyDescent="0.4">
      <c r="A9" s="17" t="s">
        <v>57</v>
      </c>
      <c r="B9" s="17" t="s">
        <v>62</v>
      </c>
      <c r="C9" s="17" t="s">
        <v>12</v>
      </c>
      <c r="D9" s="17" t="s">
        <v>28</v>
      </c>
      <c r="E9" s="17" t="s">
        <v>58</v>
      </c>
      <c r="F9" s="17" t="s">
        <v>59</v>
      </c>
      <c r="G9" s="17" t="s">
        <v>60</v>
      </c>
      <c r="H9" s="17" t="s">
        <v>61</v>
      </c>
      <c r="I9" s="17" t="s">
        <v>33</v>
      </c>
      <c r="J9" s="17" t="s">
        <v>19</v>
      </c>
      <c r="K9" s="17">
        <v>900</v>
      </c>
    </row>
    <row r="10" spans="1:11" ht="15.5" thickTop="1" thickBot="1" x14ac:dyDescent="0.4">
      <c r="A10" s="17" t="s">
        <v>11</v>
      </c>
      <c r="B10" s="17" t="s">
        <v>46</v>
      </c>
      <c r="C10" s="17" t="s">
        <v>12</v>
      </c>
      <c r="D10" s="17" t="s">
        <v>63</v>
      </c>
      <c r="E10" s="17" t="s">
        <v>64</v>
      </c>
      <c r="F10" s="17" t="s">
        <v>65</v>
      </c>
      <c r="G10" s="17" t="s">
        <v>66</v>
      </c>
      <c r="H10" s="17" t="s">
        <v>67</v>
      </c>
      <c r="I10" s="17" t="s">
        <v>33</v>
      </c>
      <c r="J10" s="17" t="s">
        <v>45</v>
      </c>
      <c r="K10" s="17">
        <v>126</v>
      </c>
    </row>
    <row r="11" spans="1:11" ht="15.5" thickTop="1" thickBot="1" x14ac:dyDescent="0.4">
      <c r="A11" s="17" t="s">
        <v>11</v>
      </c>
      <c r="B11" s="17" t="s">
        <v>46</v>
      </c>
      <c r="C11" s="17" t="s">
        <v>12</v>
      </c>
      <c r="D11" s="17" t="s">
        <v>28</v>
      </c>
      <c r="E11" s="17" t="s">
        <v>68</v>
      </c>
      <c r="F11" s="17" t="s">
        <v>41</v>
      </c>
      <c r="G11" s="17" t="s">
        <v>69</v>
      </c>
      <c r="H11" s="17" t="s">
        <v>70</v>
      </c>
      <c r="I11" s="17" t="s">
        <v>33</v>
      </c>
      <c r="J11" s="17" t="s">
        <v>19</v>
      </c>
      <c r="K11" s="18">
        <v>5520</v>
      </c>
    </row>
    <row r="12" spans="1:11" ht="15.5" thickTop="1" thickBot="1" x14ac:dyDescent="0.4">
      <c r="A12" s="17" t="s">
        <v>11</v>
      </c>
      <c r="B12" s="17" t="s">
        <v>74</v>
      </c>
      <c r="C12" s="17" t="s">
        <v>12</v>
      </c>
      <c r="D12" s="17" t="s">
        <v>13</v>
      </c>
      <c r="E12" s="17" t="s">
        <v>71</v>
      </c>
      <c r="F12" s="17" t="s">
        <v>72</v>
      </c>
      <c r="G12" s="17" t="s">
        <v>24</v>
      </c>
      <c r="H12" s="17" t="s">
        <v>73</v>
      </c>
      <c r="I12" s="17" t="s">
        <v>33</v>
      </c>
      <c r="J12" s="17" t="s">
        <v>19</v>
      </c>
      <c r="K12" s="18">
        <v>103010</v>
      </c>
    </row>
    <row r="13" spans="1:11" ht="15.5" thickTop="1" thickBot="1" x14ac:dyDescent="0.4">
      <c r="A13" s="17" t="s">
        <v>11</v>
      </c>
      <c r="B13" s="17" t="s">
        <v>79</v>
      </c>
      <c r="C13" s="17" t="s">
        <v>75</v>
      </c>
      <c r="D13" s="17" t="s">
        <v>13</v>
      </c>
      <c r="E13" s="17" t="s">
        <v>76</v>
      </c>
      <c r="F13" s="17" t="s">
        <v>77</v>
      </c>
      <c r="G13" s="17" t="s">
        <v>66</v>
      </c>
      <c r="H13" s="17" t="s">
        <v>78</v>
      </c>
      <c r="I13" s="17" t="s">
        <v>56</v>
      </c>
      <c r="J13" s="17" t="s">
        <v>19</v>
      </c>
      <c r="K13" s="17">
        <v>240</v>
      </c>
    </row>
    <row r="14" spans="1:11" ht="15.5" thickTop="1" thickBot="1" x14ac:dyDescent="0.4">
      <c r="A14" s="17" t="s">
        <v>11</v>
      </c>
      <c r="B14" s="17" t="s">
        <v>83</v>
      </c>
      <c r="C14" s="17" t="s">
        <v>12</v>
      </c>
      <c r="D14" s="17" t="s">
        <v>63</v>
      </c>
      <c r="E14" s="17" t="s">
        <v>80</v>
      </c>
      <c r="F14" s="17" t="s">
        <v>81</v>
      </c>
      <c r="G14" s="17" t="s">
        <v>37</v>
      </c>
      <c r="H14" s="17" t="s">
        <v>82</v>
      </c>
      <c r="I14" s="17" t="s">
        <v>26</v>
      </c>
      <c r="J14" s="17" t="s">
        <v>19</v>
      </c>
      <c r="K14" s="18">
        <v>21030</v>
      </c>
    </row>
    <row r="15" spans="1:11" ht="15.5" thickTop="1" thickBot="1" x14ac:dyDescent="0.4">
      <c r="A15" s="17" t="s">
        <v>11</v>
      </c>
      <c r="B15" s="17" t="s">
        <v>89</v>
      </c>
      <c r="C15" s="17" t="s">
        <v>12</v>
      </c>
      <c r="D15" s="17" t="s">
        <v>28</v>
      </c>
      <c r="E15" s="17" t="s">
        <v>84</v>
      </c>
      <c r="F15" s="17" t="s">
        <v>85</v>
      </c>
      <c r="G15" s="17" t="s">
        <v>86</v>
      </c>
      <c r="H15" s="17" t="s">
        <v>87</v>
      </c>
      <c r="I15" s="17" t="s">
        <v>88</v>
      </c>
      <c r="J15" s="17" t="s">
        <v>19</v>
      </c>
      <c r="K15" s="18">
        <v>128890</v>
      </c>
    </row>
    <row r="16" spans="1:11" ht="15.5" thickTop="1" thickBot="1" x14ac:dyDescent="0.4">
      <c r="A16" s="17" t="s">
        <v>11</v>
      </c>
      <c r="B16" s="17" t="s">
        <v>93</v>
      </c>
      <c r="C16" s="17" t="s">
        <v>12</v>
      </c>
      <c r="D16" s="17" t="s">
        <v>28</v>
      </c>
      <c r="E16" s="17" t="s">
        <v>90</v>
      </c>
      <c r="F16" s="17" t="s">
        <v>91</v>
      </c>
      <c r="G16" s="17" t="s">
        <v>31</v>
      </c>
      <c r="H16" s="17" t="s">
        <v>92</v>
      </c>
      <c r="I16" s="17" t="s">
        <v>33</v>
      </c>
      <c r="J16" s="17" t="s">
        <v>45</v>
      </c>
      <c r="K16" s="17">
        <v>45</v>
      </c>
    </row>
    <row r="17" spans="1:11" ht="15.5" thickTop="1" thickBot="1" x14ac:dyDescent="0.4">
      <c r="A17" s="17" t="s">
        <v>11</v>
      </c>
      <c r="B17" s="17" t="s">
        <v>46</v>
      </c>
      <c r="C17" s="17" t="s">
        <v>12</v>
      </c>
      <c r="D17" s="17" t="s">
        <v>63</v>
      </c>
      <c r="E17" s="17" t="s">
        <v>94</v>
      </c>
      <c r="F17" s="17" t="s">
        <v>65</v>
      </c>
      <c r="G17" s="17" t="s">
        <v>95</v>
      </c>
      <c r="H17" s="17" t="s">
        <v>70</v>
      </c>
      <c r="I17" s="17" t="s">
        <v>44</v>
      </c>
      <c r="J17" s="17" t="s">
        <v>45</v>
      </c>
      <c r="K17" s="17">
        <v>300</v>
      </c>
    </row>
    <row r="18" spans="1:11" ht="15.5" thickTop="1" thickBot="1" x14ac:dyDescent="0.4">
      <c r="A18" s="17" t="s">
        <v>11</v>
      </c>
      <c r="B18" s="17" t="s">
        <v>99</v>
      </c>
      <c r="C18" s="17" t="s">
        <v>21</v>
      </c>
      <c r="D18" s="17" t="s">
        <v>13</v>
      </c>
      <c r="E18" s="17" t="s">
        <v>96</v>
      </c>
      <c r="F18" s="17" t="s">
        <v>97</v>
      </c>
      <c r="G18" s="17" t="s">
        <v>66</v>
      </c>
      <c r="H18" s="17" t="s">
        <v>98</v>
      </c>
      <c r="I18" s="17" t="s">
        <v>33</v>
      </c>
      <c r="J18" s="17" t="s">
        <v>19</v>
      </c>
      <c r="K18" s="18">
        <v>132000</v>
      </c>
    </row>
    <row r="19" spans="1:11" ht="15.5" thickTop="1" thickBot="1" x14ac:dyDescent="0.4">
      <c r="A19" s="17" t="s">
        <v>11</v>
      </c>
      <c r="B19" s="17" t="s">
        <v>102</v>
      </c>
      <c r="C19" s="17" t="s">
        <v>21</v>
      </c>
      <c r="D19" s="17" t="s">
        <v>28</v>
      </c>
      <c r="E19" s="17" t="s">
        <v>100</v>
      </c>
      <c r="F19" s="17" t="s">
        <v>101</v>
      </c>
      <c r="G19" s="17" t="s">
        <v>37</v>
      </c>
      <c r="H19" s="17" t="s">
        <v>70</v>
      </c>
      <c r="I19" s="17" t="s">
        <v>44</v>
      </c>
      <c r="J19" s="17" t="s">
        <v>19</v>
      </c>
      <c r="K19" s="18">
        <v>257150</v>
      </c>
    </row>
    <row r="20" spans="1:11" ht="15.5" thickTop="1" thickBot="1" x14ac:dyDescent="0.4">
      <c r="A20" s="17" t="s">
        <v>11</v>
      </c>
      <c r="B20" s="17" t="s">
        <v>46</v>
      </c>
      <c r="C20" s="17" t="s">
        <v>12</v>
      </c>
      <c r="D20" s="17" t="s">
        <v>63</v>
      </c>
      <c r="E20" s="17" t="s">
        <v>103</v>
      </c>
      <c r="F20" s="17" t="s">
        <v>65</v>
      </c>
      <c r="G20" s="17" t="s">
        <v>104</v>
      </c>
      <c r="H20" s="17" t="s">
        <v>70</v>
      </c>
      <c r="I20" s="17" t="s">
        <v>56</v>
      </c>
      <c r="J20" s="17" t="s">
        <v>45</v>
      </c>
      <c r="K20" s="17">
        <v>130</v>
      </c>
    </row>
    <row r="21" spans="1:11" ht="15.5" thickTop="1" thickBot="1" x14ac:dyDescent="0.4">
      <c r="A21" s="17" t="s">
        <v>57</v>
      </c>
      <c r="B21" s="17" t="s">
        <v>108</v>
      </c>
      <c r="C21" s="17" t="s">
        <v>52</v>
      </c>
      <c r="D21" s="17" t="s">
        <v>13</v>
      </c>
      <c r="E21" s="17" t="s">
        <v>105</v>
      </c>
      <c r="F21" s="17" t="s">
        <v>106</v>
      </c>
      <c r="G21" s="17" t="s">
        <v>86</v>
      </c>
      <c r="H21" s="17" t="s">
        <v>107</v>
      </c>
      <c r="I21" s="17" t="s">
        <v>88</v>
      </c>
      <c r="J21" s="17" t="s">
        <v>19</v>
      </c>
      <c r="K21" s="18">
        <v>93580</v>
      </c>
    </row>
    <row r="22" spans="1:11" ht="15.5" thickTop="1" thickBot="1" x14ac:dyDescent="0.4">
      <c r="A22" s="17" t="s">
        <v>11</v>
      </c>
      <c r="B22" s="17" t="s">
        <v>112</v>
      </c>
      <c r="C22" s="17" t="s">
        <v>12</v>
      </c>
      <c r="D22" s="17" t="s">
        <v>28</v>
      </c>
      <c r="E22" s="17" t="s">
        <v>109</v>
      </c>
      <c r="F22" s="17" t="s">
        <v>1186</v>
      </c>
      <c r="G22" s="17" t="s">
        <v>37</v>
      </c>
      <c r="H22" s="17" t="s">
        <v>111</v>
      </c>
      <c r="I22" s="17" t="s">
        <v>44</v>
      </c>
      <c r="J22" s="17" t="s">
        <v>19</v>
      </c>
      <c r="K22" s="18">
        <v>44010</v>
      </c>
    </row>
    <row r="23" spans="1:11" ht="15.5" thickTop="1" thickBot="1" x14ac:dyDescent="0.4">
      <c r="A23" s="17" t="s">
        <v>11</v>
      </c>
      <c r="B23" s="17" t="s">
        <v>117</v>
      </c>
      <c r="C23" s="17" t="s">
        <v>12</v>
      </c>
      <c r="D23" s="17" t="s">
        <v>28</v>
      </c>
      <c r="E23" s="17" t="s">
        <v>113</v>
      </c>
      <c r="F23" s="17" t="s">
        <v>114</v>
      </c>
      <c r="G23" s="17" t="s">
        <v>37</v>
      </c>
      <c r="H23" s="17" t="s">
        <v>115</v>
      </c>
      <c r="I23" s="17" t="s">
        <v>116</v>
      </c>
      <c r="J23" s="17" t="s">
        <v>19</v>
      </c>
      <c r="K23" s="18">
        <v>11610</v>
      </c>
    </row>
    <row r="24" spans="1:11" ht="15.5" thickTop="1" thickBot="1" x14ac:dyDescent="0.4">
      <c r="A24" s="17" t="s">
        <v>11</v>
      </c>
      <c r="B24" s="17" t="s">
        <v>120</v>
      </c>
      <c r="C24" s="17" t="s">
        <v>12</v>
      </c>
      <c r="D24" s="17" t="s">
        <v>28</v>
      </c>
      <c r="E24" s="17" t="s">
        <v>118</v>
      </c>
      <c r="F24" s="17" t="s">
        <v>119</v>
      </c>
      <c r="G24" s="17" t="s">
        <v>66</v>
      </c>
      <c r="H24" s="17" t="s">
        <v>111</v>
      </c>
      <c r="I24" s="17" t="s">
        <v>33</v>
      </c>
      <c r="J24" s="17" t="s">
        <v>45</v>
      </c>
      <c r="K24" s="17">
        <v>300</v>
      </c>
    </row>
    <row r="25" spans="1:11" ht="15.5" thickTop="1" thickBot="1" x14ac:dyDescent="0.4">
      <c r="A25" s="17" t="s">
        <v>11</v>
      </c>
      <c r="B25" s="17" t="s">
        <v>46</v>
      </c>
      <c r="C25" s="17" t="s">
        <v>12</v>
      </c>
      <c r="D25" s="17" t="s">
        <v>13</v>
      </c>
      <c r="E25" s="17" t="s">
        <v>121</v>
      </c>
      <c r="F25" s="17" t="s">
        <v>122</v>
      </c>
      <c r="G25" s="17" t="s">
        <v>49</v>
      </c>
      <c r="H25" s="17" t="s">
        <v>70</v>
      </c>
      <c r="I25" s="17" t="s">
        <v>33</v>
      </c>
      <c r="J25" s="17" t="s">
        <v>45</v>
      </c>
      <c r="K25" s="17">
        <v>100</v>
      </c>
    </row>
    <row r="26" spans="1:11" ht="15.5" thickTop="1" thickBot="1" x14ac:dyDescent="0.4">
      <c r="A26" s="17" t="s">
        <v>11</v>
      </c>
      <c r="B26" s="17" t="s">
        <v>125</v>
      </c>
      <c r="C26" s="17" t="s">
        <v>21</v>
      </c>
      <c r="D26" s="17" t="s">
        <v>13</v>
      </c>
      <c r="E26" s="17" t="s">
        <v>123</v>
      </c>
      <c r="F26" s="17" t="s">
        <v>97</v>
      </c>
      <c r="G26" s="17" t="s">
        <v>31</v>
      </c>
      <c r="H26" s="17" t="s">
        <v>124</v>
      </c>
      <c r="I26" s="17" t="s">
        <v>33</v>
      </c>
      <c r="J26" s="17" t="s">
        <v>19</v>
      </c>
      <c r="K26" s="18">
        <v>222070</v>
      </c>
    </row>
    <row r="27" spans="1:11" ht="15.5" thickTop="1" thickBot="1" x14ac:dyDescent="0.4">
      <c r="A27" s="17" t="s">
        <v>11</v>
      </c>
      <c r="B27" s="17" t="s">
        <v>46</v>
      </c>
      <c r="C27" s="17" t="s">
        <v>12</v>
      </c>
      <c r="D27" s="17" t="s">
        <v>63</v>
      </c>
      <c r="E27" s="17" t="s">
        <v>126</v>
      </c>
      <c r="F27" s="17" t="s">
        <v>127</v>
      </c>
      <c r="G27" s="17" t="s">
        <v>49</v>
      </c>
      <c r="H27" s="17" t="s">
        <v>70</v>
      </c>
      <c r="I27" s="17" t="s">
        <v>33</v>
      </c>
      <c r="J27" s="17" t="s">
        <v>45</v>
      </c>
      <c r="K27" s="17">
        <v>340</v>
      </c>
    </row>
    <row r="28" spans="1:11" ht="15.5" thickTop="1" thickBot="1" x14ac:dyDescent="0.4">
      <c r="A28" s="17" t="s">
        <v>11</v>
      </c>
      <c r="B28" s="17" t="s">
        <v>131</v>
      </c>
      <c r="C28" s="17" t="s">
        <v>12</v>
      </c>
      <c r="D28" s="17" t="s">
        <v>13</v>
      </c>
      <c r="E28" s="17" t="s">
        <v>128</v>
      </c>
      <c r="F28" s="17" t="s">
        <v>129</v>
      </c>
      <c r="G28" s="17" t="s">
        <v>24</v>
      </c>
      <c r="H28" s="17" t="s">
        <v>130</v>
      </c>
      <c r="I28" s="17" t="s">
        <v>33</v>
      </c>
      <c r="J28" s="17" t="s">
        <v>45</v>
      </c>
      <c r="K28" s="18">
        <v>3780</v>
      </c>
    </row>
    <row r="29" spans="1:11" ht="15" thickTop="1" x14ac:dyDescent="0.35"/>
    <row r="30" spans="1:11" ht="15" thickBot="1" x14ac:dyDescent="0.4"/>
    <row r="31" spans="1:11" ht="15.5" thickTop="1" thickBot="1" x14ac:dyDescent="0.4">
      <c r="A31" s="22" t="s">
        <v>1187</v>
      </c>
      <c r="B31" s="24" t="s">
        <v>10</v>
      </c>
      <c r="C31" s="24" t="s">
        <v>7</v>
      </c>
      <c r="D31" s="24" t="s">
        <v>4</v>
      </c>
    </row>
    <row r="32" spans="1:11" ht="15.5" thickTop="1" thickBot="1" x14ac:dyDescent="0.4">
      <c r="B32" s="19" t="s">
        <v>51</v>
      </c>
      <c r="C32" s="19" t="str">
        <f>VLOOKUP($B$32,B1:K28,8,0)</f>
        <v>Technology</v>
      </c>
      <c r="D32" s="19" t="str">
        <f>VLOOKUP($B$32,B1:L28,5,0)</f>
        <v>New York, NY</v>
      </c>
    </row>
    <row r="33" spans="2:5" ht="15" thickTop="1" x14ac:dyDescent="0.35"/>
    <row r="34" spans="2:5" ht="15" thickBot="1" x14ac:dyDescent="0.4"/>
    <row r="35" spans="2:5" ht="15.5" thickTop="1" thickBot="1" x14ac:dyDescent="0.4">
      <c r="B35" s="25" t="s">
        <v>1188</v>
      </c>
      <c r="C35" s="25" t="s">
        <v>1190</v>
      </c>
      <c r="D35" s="25" t="s">
        <v>1191</v>
      </c>
    </row>
    <row r="36" spans="2:5" ht="15.5" thickTop="1" thickBot="1" x14ac:dyDescent="0.4">
      <c r="B36" s="19" t="s">
        <v>47</v>
      </c>
      <c r="C36" s="19" t="str">
        <f>VLOOKUP(B36,E1:K28,2,0)</f>
        <v>New York, NY</v>
      </c>
      <c r="D36" s="19">
        <f>VLOOKUP(B36,E1:L28,7,0)</f>
        <v>150</v>
      </c>
      <c r="E36" s="20"/>
    </row>
    <row r="37" spans="2:5" ht="15" thickTop="1" x14ac:dyDescent="0.35"/>
  </sheetData>
  <dataValidations count="3">
    <dataValidation type="list" allowBlank="1" showInputMessage="1" showErrorMessage="1" sqref="B2:B28" xr:uid="{CB44CB77-0797-403F-B232-211754D037D6}">
      <formula1>$B$1:$B$28</formula1>
    </dataValidation>
    <dataValidation type="list" allowBlank="1" showInputMessage="1" showErrorMessage="1" sqref="B32" xr:uid="{F6DF0FA2-CA3F-4DBD-9243-A605FB595150}">
      <formula1>$B$2:$B$28</formula1>
    </dataValidation>
    <dataValidation type="list" allowBlank="1" showInputMessage="1" showErrorMessage="1" sqref="B36" xr:uid="{5D03BCA8-C1DC-4284-BC88-060DFE723D07}">
      <formula1>$E$2:$E$28</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4C4BB-93A7-4525-85CD-A9BF009D01F8}">
  <dimension ref="A1:AB16"/>
  <sheetViews>
    <sheetView zoomScale="73" workbookViewId="0">
      <selection activeCell="B15" sqref="B15"/>
    </sheetView>
  </sheetViews>
  <sheetFormatPr defaultRowHeight="14.5" x14ac:dyDescent="0.35"/>
  <cols>
    <col min="1" max="1" width="26.7265625" bestFit="1" customWidth="1"/>
    <col min="2" max="2" width="49" bestFit="1" customWidth="1"/>
    <col min="3" max="3" width="36.54296875" bestFit="1" customWidth="1"/>
    <col min="4" max="4" width="14.7265625" bestFit="1" customWidth="1"/>
    <col min="5" max="5" width="97.54296875" bestFit="1" customWidth="1"/>
    <col min="6" max="6" width="55.6328125" bestFit="1" customWidth="1"/>
    <col min="7" max="7" width="22.453125" bestFit="1" customWidth="1"/>
    <col min="8" max="8" width="14.54296875" bestFit="1" customWidth="1"/>
    <col min="9" max="9" width="14.7265625" bestFit="1" customWidth="1"/>
    <col min="10" max="10" width="19.08984375" bestFit="1" customWidth="1"/>
    <col min="11" max="11" width="83.08984375" bestFit="1" customWidth="1"/>
  </cols>
  <sheetData>
    <row r="1" spans="1:28" ht="22" thickTop="1" thickBot="1" x14ac:dyDescent="0.4">
      <c r="A1" s="16" t="s">
        <v>0</v>
      </c>
      <c r="B1" s="17" t="s">
        <v>11</v>
      </c>
      <c r="C1" s="17" t="s">
        <v>11</v>
      </c>
      <c r="D1" s="17" t="s">
        <v>11</v>
      </c>
      <c r="E1" s="17" t="s">
        <v>11</v>
      </c>
      <c r="F1" s="17" t="s">
        <v>11</v>
      </c>
      <c r="G1" s="17" t="s">
        <v>11</v>
      </c>
      <c r="H1" s="17" t="s">
        <v>11</v>
      </c>
      <c r="I1" s="17" t="s">
        <v>57</v>
      </c>
      <c r="J1" s="17" t="s">
        <v>11</v>
      </c>
      <c r="K1" s="17" t="s">
        <v>11</v>
      </c>
      <c r="L1" s="17" t="s">
        <v>11</v>
      </c>
      <c r="M1" s="17" t="s">
        <v>11</v>
      </c>
      <c r="N1" s="17" t="s">
        <v>11</v>
      </c>
      <c r="O1" s="17" t="s">
        <v>11</v>
      </c>
      <c r="P1" s="17" t="s">
        <v>11</v>
      </c>
      <c r="Q1" s="17" t="s">
        <v>11</v>
      </c>
      <c r="R1" s="17" t="s">
        <v>11</v>
      </c>
      <c r="S1" s="17" t="s">
        <v>11</v>
      </c>
      <c r="T1" s="17" t="s">
        <v>11</v>
      </c>
      <c r="U1" s="17" t="s">
        <v>57</v>
      </c>
      <c r="V1" s="17" t="s">
        <v>11</v>
      </c>
      <c r="W1" s="17" t="s">
        <v>11</v>
      </c>
      <c r="X1" s="17" t="s">
        <v>11</v>
      </c>
      <c r="Y1" s="17" t="s">
        <v>11</v>
      </c>
      <c r="Z1" s="17" t="s">
        <v>11</v>
      </c>
      <c r="AA1" s="17" t="s">
        <v>11</v>
      </c>
      <c r="AB1" s="17" t="s">
        <v>11</v>
      </c>
    </row>
    <row r="2" spans="1:28" ht="22" thickTop="1" thickBot="1" x14ac:dyDescent="0.4">
      <c r="A2" s="16" t="s">
        <v>10</v>
      </c>
      <c r="B2" s="17" t="s">
        <v>20</v>
      </c>
      <c r="C2" s="17" t="s">
        <v>27</v>
      </c>
      <c r="D2" s="17" t="s">
        <v>34</v>
      </c>
      <c r="E2" s="17" t="s">
        <v>39</v>
      </c>
      <c r="F2" s="17" t="s">
        <v>46</v>
      </c>
      <c r="G2" s="17" t="s">
        <v>51</v>
      </c>
      <c r="H2" s="17" t="s">
        <v>46</v>
      </c>
      <c r="I2" s="17" t="s">
        <v>62</v>
      </c>
      <c r="J2" s="17" t="s">
        <v>46</v>
      </c>
      <c r="K2" s="17" t="s">
        <v>46</v>
      </c>
      <c r="L2" s="17" t="s">
        <v>74</v>
      </c>
      <c r="M2" s="17" t="s">
        <v>79</v>
      </c>
      <c r="N2" s="17" t="s">
        <v>83</v>
      </c>
      <c r="O2" s="17" t="s">
        <v>89</v>
      </c>
      <c r="P2" s="17" t="s">
        <v>93</v>
      </c>
      <c r="Q2" s="17" t="s">
        <v>46</v>
      </c>
      <c r="R2" s="17" t="s">
        <v>99</v>
      </c>
      <c r="S2" s="17" t="s">
        <v>102</v>
      </c>
      <c r="T2" s="17" t="s">
        <v>46</v>
      </c>
      <c r="U2" s="17" t="s">
        <v>108</v>
      </c>
      <c r="V2" s="17" t="s">
        <v>112</v>
      </c>
      <c r="W2" s="17" t="s">
        <v>117</v>
      </c>
      <c r="X2" s="17" t="s">
        <v>120</v>
      </c>
      <c r="Y2" s="17" t="s">
        <v>46</v>
      </c>
      <c r="Z2" s="17" t="s">
        <v>125</v>
      </c>
      <c r="AA2" s="17" t="s">
        <v>46</v>
      </c>
      <c r="AB2" s="17" t="s">
        <v>131</v>
      </c>
    </row>
    <row r="3" spans="1:28" ht="22" thickTop="1" thickBot="1" x14ac:dyDescent="0.4">
      <c r="A3" s="16" t="s">
        <v>1</v>
      </c>
      <c r="B3" s="17" t="s">
        <v>12</v>
      </c>
      <c r="C3" s="17" t="s">
        <v>21</v>
      </c>
      <c r="D3" s="17" t="s">
        <v>12</v>
      </c>
      <c r="E3" s="17" t="s">
        <v>12</v>
      </c>
      <c r="F3" s="17" t="s">
        <v>12</v>
      </c>
      <c r="G3" s="17" t="s">
        <v>21</v>
      </c>
      <c r="H3" s="17" t="s">
        <v>52</v>
      </c>
      <c r="I3" s="17" t="s">
        <v>12</v>
      </c>
      <c r="J3" s="17" t="s">
        <v>12</v>
      </c>
      <c r="K3" s="17" t="s">
        <v>12</v>
      </c>
      <c r="L3" s="17" t="s">
        <v>12</v>
      </c>
      <c r="M3" s="17" t="s">
        <v>75</v>
      </c>
      <c r="N3" s="17" t="s">
        <v>12</v>
      </c>
      <c r="O3" s="17" t="s">
        <v>12</v>
      </c>
      <c r="P3" s="17" t="s">
        <v>12</v>
      </c>
      <c r="Q3" s="17" t="s">
        <v>12</v>
      </c>
      <c r="R3" s="17" t="s">
        <v>21</v>
      </c>
      <c r="S3" s="17" t="s">
        <v>21</v>
      </c>
      <c r="T3" s="17" t="s">
        <v>12</v>
      </c>
      <c r="U3" s="17" t="s">
        <v>52</v>
      </c>
      <c r="V3" s="17" t="s">
        <v>12</v>
      </c>
      <c r="W3" s="17" t="s">
        <v>12</v>
      </c>
      <c r="X3" s="17" t="s">
        <v>12</v>
      </c>
      <c r="Y3" s="17" t="s">
        <v>12</v>
      </c>
      <c r="Z3" s="17" t="s">
        <v>21</v>
      </c>
      <c r="AA3" s="17" t="s">
        <v>12</v>
      </c>
      <c r="AB3" s="17" t="s">
        <v>12</v>
      </c>
    </row>
    <row r="4" spans="1:28" ht="22" thickTop="1" thickBot="1" x14ac:dyDescent="0.4">
      <c r="A4" s="16" t="s">
        <v>2</v>
      </c>
      <c r="B4" s="17" t="s">
        <v>13</v>
      </c>
      <c r="C4" s="17" t="s">
        <v>13</v>
      </c>
      <c r="D4" s="17" t="s">
        <v>28</v>
      </c>
      <c r="E4" s="17" t="s">
        <v>13</v>
      </c>
      <c r="F4" s="17" t="s">
        <v>28</v>
      </c>
      <c r="G4" s="17" t="s">
        <v>13</v>
      </c>
      <c r="H4" s="17" t="s">
        <v>13</v>
      </c>
      <c r="I4" s="17" t="s">
        <v>28</v>
      </c>
      <c r="J4" s="17" t="s">
        <v>63</v>
      </c>
      <c r="K4" s="17" t="s">
        <v>28</v>
      </c>
      <c r="L4" s="17" t="s">
        <v>13</v>
      </c>
      <c r="M4" s="17" t="s">
        <v>13</v>
      </c>
      <c r="N4" s="17" t="s">
        <v>63</v>
      </c>
      <c r="O4" s="17" t="s">
        <v>28</v>
      </c>
      <c r="P4" s="17" t="s">
        <v>28</v>
      </c>
      <c r="Q4" s="17" t="s">
        <v>63</v>
      </c>
      <c r="R4" s="17" t="s">
        <v>13</v>
      </c>
      <c r="S4" s="17" t="s">
        <v>28</v>
      </c>
      <c r="T4" s="17" t="s">
        <v>63</v>
      </c>
      <c r="U4" s="17" t="s">
        <v>13</v>
      </c>
      <c r="V4" s="17" t="s">
        <v>28</v>
      </c>
      <c r="W4" s="17" t="s">
        <v>28</v>
      </c>
      <c r="X4" s="17" t="s">
        <v>28</v>
      </c>
      <c r="Y4" s="17" t="s">
        <v>13</v>
      </c>
      <c r="Z4" s="17" t="s">
        <v>13</v>
      </c>
      <c r="AA4" s="17" t="s">
        <v>63</v>
      </c>
      <c r="AB4" s="17" t="s">
        <v>13</v>
      </c>
    </row>
    <row r="5" spans="1:28" ht="22" thickTop="1" thickBot="1" x14ac:dyDescent="0.4">
      <c r="A5" s="16" t="s">
        <v>3</v>
      </c>
      <c r="B5" s="17" t="s">
        <v>14</v>
      </c>
      <c r="C5" s="17" t="s">
        <v>22</v>
      </c>
      <c r="D5" s="17" t="s">
        <v>29</v>
      </c>
      <c r="E5" s="17" t="s">
        <v>35</v>
      </c>
      <c r="F5" s="17" t="s">
        <v>40</v>
      </c>
      <c r="G5" s="17" t="s">
        <v>47</v>
      </c>
      <c r="H5" s="17" t="s">
        <v>53</v>
      </c>
      <c r="I5" s="17" t="s">
        <v>58</v>
      </c>
      <c r="J5" s="17" t="s">
        <v>64</v>
      </c>
      <c r="K5" s="17" t="s">
        <v>68</v>
      </c>
      <c r="L5" s="17" t="s">
        <v>71</v>
      </c>
      <c r="M5" s="17" t="s">
        <v>76</v>
      </c>
      <c r="N5" s="17" t="s">
        <v>80</v>
      </c>
      <c r="O5" s="17" t="s">
        <v>84</v>
      </c>
      <c r="P5" s="17" t="s">
        <v>90</v>
      </c>
      <c r="Q5" s="17" t="s">
        <v>94</v>
      </c>
      <c r="R5" s="17" t="s">
        <v>96</v>
      </c>
      <c r="S5" s="17" t="s">
        <v>100</v>
      </c>
      <c r="T5" s="17" t="s">
        <v>103</v>
      </c>
      <c r="U5" s="17" t="s">
        <v>105</v>
      </c>
      <c r="V5" s="17" t="s">
        <v>109</v>
      </c>
      <c r="W5" s="17" t="s">
        <v>113</v>
      </c>
      <c r="X5" s="17" t="s">
        <v>118</v>
      </c>
      <c r="Y5" s="17" t="s">
        <v>121</v>
      </c>
      <c r="Z5" s="17" t="s">
        <v>123</v>
      </c>
      <c r="AA5" s="17" t="s">
        <v>126</v>
      </c>
      <c r="AB5" s="17" t="s">
        <v>128</v>
      </c>
    </row>
    <row r="6" spans="1:28" ht="22" thickTop="1" thickBot="1" x14ac:dyDescent="0.4">
      <c r="A6" s="16" t="s">
        <v>4</v>
      </c>
      <c r="B6" s="17" t="s">
        <v>15</v>
      </c>
      <c r="C6" s="17" t="s">
        <v>23</v>
      </c>
      <c r="D6" s="17" t="s">
        <v>30</v>
      </c>
      <c r="E6" s="17" t="s">
        <v>36</v>
      </c>
      <c r="F6" s="17" t="s">
        <v>41</v>
      </c>
      <c r="G6" s="17" t="s">
        <v>48</v>
      </c>
      <c r="H6" s="17" t="s">
        <v>54</v>
      </c>
      <c r="I6" s="17" t="s">
        <v>59</v>
      </c>
      <c r="J6" s="17" t="s">
        <v>65</v>
      </c>
      <c r="K6" s="17" t="s">
        <v>41</v>
      </c>
      <c r="L6" s="17" t="s">
        <v>72</v>
      </c>
      <c r="M6" s="17" t="s">
        <v>77</v>
      </c>
      <c r="N6" s="17" t="s">
        <v>81</v>
      </c>
      <c r="O6" s="17" t="s">
        <v>85</v>
      </c>
      <c r="P6" s="17" t="s">
        <v>91</v>
      </c>
      <c r="Q6" s="17" t="s">
        <v>65</v>
      </c>
      <c r="R6" s="17" t="s">
        <v>97</v>
      </c>
      <c r="S6" s="17" t="s">
        <v>101</v>
      </c>
      <c r="T6" s="17" t="s">
        <v>65</v>
      </c>
      <c r="U6" s="17" t="s">
        <v>106</v>
      </c>
      <c r="V6" s="17" t="s">
        <v>1186</v>
      </c>
      <c r="W6" s="17" t="s">
        <v>114</v>
      </c>
      <c r="X6" s="17" t="s">
        <v>119</v>
      </c>
      <c r="Y6" s="17" t="s">
        <v>122</v>
      </c>
      <c r="Z6" s="17" t="s">
        <v>97</v>
      </c>
      <c r="AA6" s="17" t="s">
        <v>127</v>
      </c>
      <c r="AB6" s="17" t="s">
        <v>129</v>
      </c>
    </row>
    <row r="7" spans="1:28" ht="22" thickTop="1" thickBot="1" x14ac:dyDescent="0.4">
      <c r="A7" s="16" t="s">
        <v>5</v>
      </c>
      <c r="B7" s="17" t="s">
        <v>16</v>
      </c>
      <c r="C7" s="17" t="s">
        <v>24</v>
      </c>
      <c r="D7" s="17" t="s">
        <v>31</v>
      </c>
      <c r="E7" s="17" t="s">
        <v>37</v>
      </c>
      <c r="F7" s="17" t="s">
        <v>42</v>
      </c>
      <c r="G7" s="17" t="s">
        <v>49</v>
      </c>
      <c r="H7" s="17" t="s">
        <v>24</v>
      </c>
      <c r="I7" s="17" t="s">
        <v>60</v>
      </c>
      <c r="J7" s="17" t="s">
        <v>66</v>
      </c>
      <c r="K7" s="17" t="s">
        <v>69</v>
      </c>
      <c r="L7" s="17" t="s">
        <v>24</v>
      </c>
      <c r="M7" s="17" t="s">
        <v>66</v>
      </c>
      <c r="N7" s="17" t="s">
        <v>37</v>
      </c>
      <c r="O7" s="17" t="s">
        <v>86</v>
      </c>
      <c r="P7" s="17" t="s">
        <v>31</v>
      </c>
      <c r="Q7" s="17" t="s">
        <v>95</v>
      </c>
      <c r="R7" s="17" t="s">
        <v>66</v>
      </c>
      <c r="S7" s="17" t="s">
        <v>37</v>
      </c>
      <c r="T7" s="17" t="s">
        <v>104</v>
      </c>
      <c r="U7" s="17" t="s">
        <v>86</v>
      </c>
      <c r="V7" s="17" t="s">
        <v>37</v>
      </c>
      <c r="W7" s="17" t="s">
        <v>37</v>
      </c>
      <c r="X7" s="17" t="s">
        <v>66</v>
      </c>
      <c r="Y7" s="17" t="s">
        <v>49</v>
      </c>
      <c r="Z7" s="17" t="s">
        <v>31</v>
      </c>
      <c r="AA7" s="17" t="s">
        <v>49</v>
      </c>
      <c r="AB7" s="17" t="s">
        <v>24</v>
      </c>
    </row>
    <row r="8" spans="1:28" ht="22" thickTop="1" thickBot="1" x14ac:dyDescent="0.4">
      <c r="A8" s="16" t="s">
        <v>6</v>
      </c>
      <c r="B8" s="17" t="s">
        <v>17</v>
      </c>
      <c r="C8" s="17" t="s">
        <v>25</v>
      </c>
      <c r="D8" s="17" t="s">
        <v>32</v>
      </c>
      <c r="E8" s="17" t="s">
        <v>38</v>
      </c>
      <c r="F8" s="17" t="s">
        <v>43</v>
      </c>
      <c r="G8" s="17" t="s">
        <v>50</v>
      </c>
      <c r="H8" s="17" t="s">
        <v>55</v>
      </c>
      <c r="I8" s="17" t="s">
        <v>61</v>
      </c>
      <c r="J8" s="17" t="s">
        <v>67</v>
      </c>
      <c r="K8" s="17" t="s">
        <v>70</v>
      </c>
      <c r="L8" s="17" t="s">
        <v>73</v>
      </c>
      <c r="M8" s="17" t="s">
        <v>78</v>
      </c>
      <c r="N8" s="17" t="s">
        <v>82</v>
      </c>
      <c r="O8" s="17" t="s">
        <v>87</v>
      </c>
      <c r="P8" s="17" t="s">
        <v>92</v>
      </c>
      <c r="Q8" s="17" t="s">
        <v>70</v>
      </c>
      <c r="R8" s="17" t="s">
        <v>98</v>
      </c>
      <c r="S8" s="17" t="s">
        <v>70</v>
      </c>
      <c r="T8" s="17" t="s">
        <v>70</v>
      </c>
      <c r="U8" s="17" t="s">
        <v>107</v>
      </c>
      <c r="V8" s="17" t="s">
        <v>111</v>
      </c>
      <c r="W8" s="17" t="s">
        <v>115</v>
      </c>
      <c r="X8" s="17" t="s">
        <v>111</v>
      </c>
      <c r="Y8" s="17" t="s">
        <v>70</v>
      </c>
      <c r="Z8" s="17" t="s">
        <v>124</v>
      </c>
      <c r="AA8" s="17" t="s">
        <v>70</v>
      </c>
      <c r="AB8" s="17" t="s">
        <v>130</v>
      </c>
    </row>
    <row r="9" spans="1:28" ht="22" thickTop="1" thickBot="1" x14ac:dyDescent="0.4">
      <c r="A9" s="16" t="s">
        <v>7</v>
      </c>
      <c r="B9" s="17" t="s">
        <v>18</v>
      </c>
      <c r="C9" s="17" t="s">
        <v>26</v>
      </c>
      <c r="D9" s="17" t="s">
        <v>33</v>
      </c>
      <c r="E9" s="17" t="s">
        <v>33</v>
      </c>
      <c r="F9" s="17" t="s">
        <v>44</v>
      </c>
      <c r="G9" s="17" t="s">
        <v>33</v>
      </c>
      <c r="H9" s="17" t="s">
        <v>56</v>
      </c>
      <c r="I9" s="17" t="s">
        <v>33</v>
      </c>
      <c r="J9" s="17" t="s">
        <v>33</v>
      </c>
      <c r="K9" s="17" t="s">
        <v>33</v>
      </c>
      <c r="L9" s="17" t="s">
        <v>33</v>
      </c>
      <c r="M9" s="17" t="s">
        <v>56</v>
      </c>
      <c r="N9" s="17" t="s">
        <v>26</v>
      </c>
      <c r="O9" s="17" t="s">
        <v>88</v>
      </c>
      <c r="P9" s="17" t="s">
        <v>33</v>
      </c>
      <c r="Q9" s="17" t="s">
        <v>44</v>
      </c>
      <c r="R9" s="17" t="s">
        <v>33</v>
      </c>
      <c r="S9" s="17" t="s">
        <v>44</v>
      </c>
      <c r="T9" s="17" t="s">
        <v>56</v>
      </c>
      <c r="U9" s="17" t="s">
        <v>88</v>
      </c>
      <c r="V9" s="17" t="s">
        <v>44</v>
      </c>
      <c r="W9" s="17" t="s">
        <v>116</v>
      </c>
      <c r="X9" s="17" t="s">
        <v>33</v>
      </c>
      <c r="Y9" s="17" t="s">
        <v>33</v>
      </c>
      <c r="Z9" s="17" t="s">
        <v>33</v>
      </c>
      <c r="AA9" s="17" t="s">
        <v>33</v>
      </c>
      <c r="AB9" s="17" t="s">
        <v>33</v>
      </c>
    </row>
    <row r="10" spans="1:28" ht="22" thickTop="1" thickBot="1" x14ac:dyDescent="0.4">
      <c r="A10" s="16" t="s">
        <v>8</v>
      </c>
      <c r="B10" s="17" t="s">
        <v>19</v>
      </c>
      <c r="C10" s="17" t="s">
        <v>19</v>
      </c>
      <c r="D10" s="17" t="s">
        <v>19</v>
      </c>
      <c r="E10" s="17" t="s">
        <v>19</v>
      </c>
      <c r="F10" s="17" t="s">
        <v>45</v>
      </c>
      <c r="G10" s="17" t="s">
        <v>45</v>
      </c>
      <c r="H10" s="17" t="s">
        <v>19</v>
      </c>
      <c r="I10" s="17" t="s">
        <v>19</v>
      </c>
      <c r="J10" s="17" t="s">
        <v>45</v>
      </c>
      <c r="K10" s="17" t="s">
        <v>19</v>
      </c>
      <c r="L10" s="17" t="s">
        <v>19</v>
      </c>
      <c r="M10" s="17" t="s">
        <v>19</v>
      </c>
      <c r="N10" s="17" t="s">
        <v>19</v>
      </c>
      <c r="O10" s="17" t="s">
        <v>19</v>
      </c>
      <c r="P10" s="17" t="s">
        <v>45</v>
      </c>
      <c r="Q10" s="17" t="s">
        <v>45</v>
      </c>
      <c r="R10" s="17" t="s">
        <v>19</v>
      </c>
      <c r="S10" s="17" t="s">
        <v>19</v>
      </c>
      <c r="T10" s="17" t="s">
        <v>45</v>
      </c>
      <c r="U10" s="17" t="s">
        <v>19</v>
      </c>
      <c r="V10" s="17" t="s">
        <v>19</v>
      </c>
      <c r="W10" s="17" t="s">
        <v>19</v>
      </c>
      <c r="X10" s="17" t="s">
        <v>45</v>
      </c>
      <c r="Y10" s="17" t="s">
        <v>45</v>
      </c>
      <c r="Z10" s="17" t="s">
        <v>19</v>
      </c>
      <c r="AA10" s="17" t="s">
        <v>45</v>
      </c>
      <c r="AB10" s="17" t="s">
        <v>45</v>
      </c>
    </row>
    <row r="11" spans="1:28" ht="22" thickTop="1" thickBot="1" x14ac:dyDescent="0.4">
      <c r="A11" s="16" t="s">
        <v>9</v>
      </c>
      <c r="B11" s="17">
        <v>35244</v>
      </c>
      <c r="C11" s="18">
        <v>155030</v>
      </c>
      <c r="D11" s="18">
        <v>25930</v>
      </c>
      <c r="E11" s="18">
        <v>34690</v>
      </c>
      <c r="F11" s="18">
        <v>1800</v>
      </c>
      <c r="G11" s="17">
        <v>150</v>
      </c>
      <c r="H11" s="18">
        <v>17471</v>
      </c>
      <c r="I11" s="17">
        <v>900</v>
      </c>
      <c r="J11" s="17">
        <v>126</v>
      </c>
      <c r="K11" s="18">
        <v>5520</v>
      </c>
      <c r="L11" s="18">
        <v>103010</v>
      </c>
      <c r="M11" s="17">
        <v>240</v>
      </c>
      <c r="N11" s="18">
        <v>21030</v>
      </c>
      <c r="O11" s="18">
        <v>128890</v>
      </c>
      <c r="P11" s="17">
        <v>45</v>
      </c>
      <c r="Q11" s="17">
        <v>300</v>
      </c>
      <c r="R11" s="18">
        <v>132000</v>
      </c>
      <c r="S11" s="18">
        <v>257150</v>
      </c>
      <c r="T11" s="17">
        <v>130</v>
      </c>
      <c r="U11" s="18">
        <v>93580</v>
      </c>
      <c r="V11" s="18">
        <v>44010</v>
      </c>
      <c r="W11" s="18">
        <v>11610</v>
      </c>
      <c r="X11" s="17">
        <v>300</v>
      </c>
      <c r="Y11" s="17">
        <v>100</v>
      </c>
      <c r="Z11" s="18">
        <v>222070</v>
      </c>
      <c r="AA11" s="17">
        <v>340</v>
      </c>
      <c r="AB11" s="18">
        <v>3780</v>
      </c>
    </row>
    <row r="12" spans="1:28" ht="15" thickTop="1" x14ac:dyDescent="0.35"/>
    <row r="13" spans="1:28" ht="15" thickBot="1" x14ac:dyDescent="0.4"/>
    <row r="14" spans="1:28" ht="15.5" thickTop="1" thickBot="1" x14ac:dyDescent="0.4">
      <c r="B14" s="23" t="s">
        <v>10</v>
      </c>
      <c r="C14" s="23" t="s">
        <v>1</v>
      </c>
      <c r="D14" s="23" t="s">
        <v>2</v>
      </c>
      <c r="E14" s="23" t="s">
        <v>4</v>
      </c>
    </row>
    <row r="15" spans="1:28" ht="15.5" thickTop="1" thickBot="1" x14ac:dyDescent="0.4">
      <c r="A15" s="21" t="s">
        <v>1189</v>
      </c>
      <c r="B15" s="19" t="s">
        <v>62</v>
      </c>
      <c r="C15" s="19" t="str">
        <f>HLOOKUP($B15,$2:$11,2,0)</f>
        <v>Senior</v>
      </c>
      <c r="D15" s="19" t="str">
        <f>HLOOKUP($B15,$2:$11,3,0)</f>
        <v>On-Site</v>
      </c>
      <c r="E15" s="19" t="str">
        <f>HLOOKUP($B15,$2:$11,5,0)</f>
        <v>Menlo Park, CA</v>
      </c>
    </row>
    <row r="16" spans="1:28" ht="15" thickTop="1" x14ac:dyDescent="0.35"/>
  </sheetData>
  <dataValidations count="3">
    <dataValidation type="list" allowBlank="1" showInputMessage="1" showErrorMessage="1" sqref="B2:AB2" xr:uid="{32ECD24B-8B06-457B-9D37-20E3A4F0ABC2}">
      <formula1>$B$1:$B$28</formula1>
    </dataValidation>
    <dataValidation type="list" allowBlank="1" showInputMessage="1" showErrorMessage="1" sqref="B15" xr:uid="{1D0DBBFF-C0FD-403E-A307-6C4DC854C9B7}">
      <formula1>$B$2:$AB$2</formula1>
    </dataValidation>
    <dataValidation type="list" allowBlank="1" showInputMessage="1" showErrorMessage="1" sqref="C14:E14" xr:uid="{3D56CE84-6021-4995-A9A1-5B2B55CDFD9E}">
      <formula1>$A$1:$A$11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Yashantu singh Assignment 2</vt:lpstr>
      <vt:lpstr>Pivot Table</vt:lpstr>
      <vt:lpstr>VLOOKUP</vt:lpstr>
      <vt:lpstr>HLOOKUP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YASHANTU AWANA</dc:creator>
  <cp:lastModifiedBy>Yashantu Awana</cp:lastModifiedBy>
  <dcterms:created xsi:type="dcterms:W3CDTF">2025-10-04T05:23:00Z</dcterms:created>
  <dcterms:modified xsi:type="dcterms:W3CDTF">2025-10-07T17:16:10Z</dcterms:modified>
</cp:coreProperties>
</file>