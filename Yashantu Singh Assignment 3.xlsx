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ANTU AWANA\OneDrive\Desktop\Assignments\Excel\"/>
    </mc:Choice>
  </mc:AlternateContent>
  <xr:revisionPtr revIDLastSave="0" documentId="8_{C74C61E7-F72C-4874-8A0A-B6F210411226}" xr6:coauthVersionLast="47" xr6:coauthVersionMax="47" xr10:uidLastSave="{00000000-0000-0000-0000-000000000000}"/>
  <bookViews>
    <workbookView xWindow="-110" yWindow="-110" windowWidth="19420" windowHeight="10300" activeTab="2" xr2:uid="{B8F9C014-EFE0-4EED-972B-6A641A936669}"/>
  </bookViews>
  <sheets>
    <sheet name="NESTED VLOOKUP" sheetId="1" r:id="rId1"/>
    <sheet name="NESTED HLOOKUP" sheetId="3" r:id="rId2"/>
    <sheet name="NESTED VLOOKUP AND HLOOKU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B17" i="4"/>
  <c r="C17" i="4" s="1"/>
  <c r="M20" i="1" a="1"/>
  <c r="M20" i="1" s="1"/>
  <c r="I20" i="1"/>
  <c r="F20" i="1"/>
  <c r="B20" i="1"/>
  <c r="C20" i="1" s="1"/>
  <c r="H7" i="4" a="1"/>
  <c r="H7" i="4" s="1"/>
  <c r="H1" i="4" a="1"/>
  <c r="H1" i="4" s="1"/>
  <c r="A15" i="3" a="1"/>
  <c r="A15" i="3" s="1"/>
  <c r="A11" i="3" a="1"/>
  <c r="A11" i="3" s="1"/>
  <c r="A7" i="3" a="1"/>
  <c r="A7" i="3" s="1"/>
  <c r="I17" i="4" l="1"/>
  <c r="P5" i="3"/>
  <c r="P6" i="3" s="1"/>
  <c r="P10" i="3"/>
  <c r="P14" i="3"/>
  <c r="P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<sst xmlns="http://schemas.openxmlformats.org/spreadsheetml/2006/main" count="254" uniqueCount="93">
  <si>
    <t>Name</t>
  </si>
  <si>
    <t>Class Teacher</t>
  </si>
  <si>
    <t>Major Subject</t>
  </si>
  <si>
    <t>Department ID</t>
  </si>
  <si>
    <t>A. Sharma</t>
  </si>
  <si>
    <t>D01</t>
  </si>
  <si>
    <t>R. Singh</t>
  </si>
  <si>
    <t>D02</t>
  </si>
  <si>
    <t>M. Verma</t>
  </si>
  <si>
    <t>D03</t>
  </si>
  <si>
    <t>P. Rao</t>
  </si>
  <si>
    <t>D04</t>
  </si>
  <si>
    <t>Dr. K. Mehta</t>
  </si>
  <si>
    <t>Prof. S. Nair</t>
  </si>
  <si>
    <t>Dr. V. Kapoor</t>
  </si>
  <si>
    <t>Dr. A. Bansal</t>
  </si>
  <si>
    <t>Mathematics</t>
  </si>
  <si>
    <t>Algebra</t>
  </si>
  <si>
    <t>Science</t>
  </si>
  <si>
    <t>Physics</t>
  </si>
  <si>
    <t>Commerce</t>
  </si>
  <si>
    <t>Accounts</t>
  </si>
  <si>
    <t>Arts</t>
  </si>
  <si>
    <t>History</t>
  </si>
  <si>
    <t>Credits</t>
  </si>
  <si>
    <t>6 months</t>
  </si>
  <si>
    <t>Department &amp; HOD</t>
  </si>
  <si>
    <t>HOD Details</t>
  </si>
  <si>
    <t>Subject Information</t>
  </si>
  <si>
    <t>Rohan</t>
  </si>
  <si>
    <t>Meera</t>
  </si>
  <si>
    <t>Aarav</t>
  </si>
  <si>
    <t>Priya</t>
  </si>
  <si>
    <t>HOD</t>
  </si>
  <si>
    <t>Department</t>
  </si>
  <si>
    <t>Duration</t>
  </si>
  <si>
    <t>12 months</t>
  </si>
  <si>
    <t>Student/Teacher Information</t>
  </si>
  <si>
    <t>SCHOOL DATA SET</t>
  </si>
  <si>
    <t>Kunal</t>
  </si>
  <si>
    <t>D05</t>
  </si>
  <si>
    <t>S. Bhat</t>
  </si>
  <si>
    <t>Ishita</t>
  </si>
  <si>
    <t>D06</t>
  </si>
  <si>
    <t>T. Desai</t>
  </si>
  <si>
    <t>Naman</t>
  </si>
  <si>
    <t>D07</t>
  </si>
  <si>
    <t>U. Reddy</t>
  </si>
  <si>
    <t>Sonam</t>
  </si>
  <si>
    <t>D08</t>
  </si>
  <si>
    <t>V. Ghosh</t>
  </si>
  <si>
    <t>Virat</t>
  </si>
  <si>
    <t>D09</t>
  </si>
  <si>
    <t>W. Chatterjee</t>
  </si>
  <si>
    <t>Neha</t>
  </si>
  <si>
    <t>D10</t>
  </si>
  <si>
    <t>Y. Khan</t>
  </si>
  <si>
    <t>Dr. R. Pandey</t>
  </si>
  <si>
    <t>Prof. L. Saxena</t>
  </si>
  <si>
    <t>Dr. S. Kaul</t>
  </si>
  <si>
    <t>Prof. M. Joshi</t>
  </si>
  <si>
    <t>Dr. H. Pillai</t>
  </si>
  <si>
    <t>Prof. G. Iyer</t>
  </si>
  <si>
    <t>Computer Science</t>
  </si>
  <si>
    <t>Programming</t>
  </si>
  <si>
    <t>English</t>
  </si>
  <si>
    <t>Literature</t>
  </si>
  <si>
    <t>Biology</t>
  </si>
  <si>
    <t>Botany</t>
  </si>
  <si>
    <t>Economics</t>
  </si>
  <si>
    <t>Microeconomics</t>
  </si>
  <si>
    <t>Engineering</t>
  </si>
  <si>
    <t>Mechanics</t>
  </si>
  <si>
    <t>Psychology</t>
  </si>
  <si>
    <t>Human Behaviour</t>
  </si>
  <si>
    <t>18 months</t>
  </si>
  <si>
    <t>Student/Teacher Data in Vertical</t>
  </si>
  <si>
    <t>Question:1-Prepare a vlookup and find the total duration for which the student will be engaged in the class to get their respective degrees</t>
  </si>
  <si>
    <t>Name of Student</t>
  </si>
  <si>
    <t>Question:2- Using name of the student find the HOD?</t>
  </si>
  <si>
    <t>Name of Students</t>
  </si>
  <si>
    <t xml:space="preserve">Question:- Using department ID find the major subjects </t>
  </si>
  <si>
    <t>Department id</t>
  </si>
  <si>
    <t>Question:4- Using credit find the name of department</t>
  </si>
  <si>
    <t>Credit</t>
  </si>
  <si>
    <t>Department Name</t>
  </si>
  <si>
    <t xml:space="preserve">Question:3- Using department ID find the major subjects </t>
  </si>
  <si>
    <t>Prepare a vlookup and find the total duration for which the student will be engaged in the class to get their respective degrees</t>
  </si>
  <si>
    <t xml:space="preserve">Department </t>
  </si>
  <si>
    <t>Using name of the student find the HOD?</t>
  </si>
  <si>
    <t xml:space="preserve">Using department find the major subjects </t>
  </si>
  <si>
    <t>Nested HLOOKUP Used</t>
  </si>
  <si>
    <t>Nested VLOOKUP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</si>
</sst>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 val="double"/>
      <sz val="36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36"/>
      <color rgb="FF0061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7" borderId="0" applyNumberFormat="0" applyBorder="0" applyAlignment="0" applyProtection="0"/>
  </cellStyleXfs>
  <cellXfs count="7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8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8" fillId="0" borderId="0" xfId="1" applyFont="1" applyFill="1" applyBorder="1" applyAlignment="1">
      <alignment vertical="center" textRotation="90"/>
    </xf>
    <xf numFmtId="0" fontId="7" fillId="8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8" fillId="7" borderId="1" xfId="1" applyFont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1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 wrapText="1"/>
    </xf>
    <xf numFmtId="0" fontId="1" fillId="20" borderId="9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1" fillId="17" borderId="2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1" fillId="22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7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28">
    <dxf>
      <alignment horizontal="center" textRotation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textRotation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textRotation="0" indent="0" justifyLastLine="0" shrinkToFit="0" readingOrder="0"/>
    </dxf>
    <dxf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textRotation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textRotation="0" indent="0" justifyLastLine="0" shrinkToFit="0" readingOrder="0"/>
    </dxf>
    <dxf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557947</xdr:colOff>
      <xdr:row>2</xdr:row>
      <xdr:rowOff>269877</xdr:rowOff>
    </xdr:from>
    <xdr:to>
      <xdr:col>6</xdr:col>
      <xdr:colOff>39688</xdr:colOff>
      <xdr:row>15</xdr:row>
      <xdr:rowOff>29966</xdr:rowOff>
    </xdr:to>
    <xdr:sp macro="" textlink="">
      <xdr:nvSpPr>
        <xdr:cNvPr id="5" name="Rectangle: Rounded Corners 4" hidden="1">
          <a:extLst>
            <a:ext uri="{FF2B5EF4-FFF2-40B4-BE49-F238E27FC236}">
              <a16:creationId xmlns:a16="http://schemas.microsoft.com/office/drawing/2014/main" id="{C4A365D6-A1A5-8BBE-8A25-B201BFE0EF74}"/>
            </a:ext>
          </a:extLst>
        </xdr:cNvPr>
        <xdr:cNvSpPr/>
      </xdr:nvSpPr>
      <xdr:spPr>
        <a:xfrm>
          <a:off x="3859947" y="635002"/>
          <a:ext cx="2386866" cy="2808089"/>
        </a:xfrm>
        <a:custGeom>
          <a:avLst/>
          <a:gdLst>
            <a:gd name="connsiteX0" fmla="*/ 0 w 2293937"/>
            <a:gd name="connsiteY0" fmla="*/ 382330 h 2801938"/>
            <a:gd name="connsiteX1" fmla="*/ 382330 w 2293937"/>
            <a:gd name="connsiteY1" fmla="*/ 0 h 2801938"/>
            <a:gd name="connsiteX2" fmla="*/ 1911607 w 2293937"/>
            <a:gd name="connsiteY2" fmla="*/ 0 h 2801938"/>
            <a:gd name="connsiteX3" fmla="*/ 2293937 w 2293937"/>
            <a:gd name="connsiteY3" fmla="*/ 382330 h 2801938"/>
            <a:gd name="connsiteX4" fmla="*/ 2293937 w 2293937"/>
            <a:gd name="connsiteY4" fmla="*/ 2419608 h 2801938"/>
            <a:gd name="connsiteX5" fmla="*/ 1911607 w 2293937"/>
            <a:gd name="connsiteY5" fmla="*/ 2801938 h 2801938"/>
            <a:gd name="connsiteX6" fmla="*/ 382330 w 2293937"/>
            <a:gd name="connsiteY6" fmla="*/ 2801938 h 2801938"/>
            <a:gd name="connsiteX7" fmla="*/ 0 w 2293937"/>
            <a:gd name="connsiteY7" fmla="*/ 2419608 h 2801938"/>
            <a:gd name="connsiteX8" fmla="*/ 0 w 2293937"/>
            <a:gd name="connsiteY8" fmla="*/ 382330 h 2801938"/>
            <a:gd name="connsiteX0" fmla="*/ 0 w 2349500"/>
            <a:gd name="connsiteY0" fmla="*/ 389916 h 2809524"/>
            <a:gd name="connsiteX1" fmla="*/ 382330 w 2349500"/>
            <a:gd name="connsiteY1" fmla="*/ 7586 h 2809524"/>
            <a:gd name="connsiteX2" fmla="*/ 1911607 w 2349500"/>
            <a:gd name="connsiteY2" fmla="*/ 7586 h 2809524"/>
            <a:gd name="connsiteX3" fmla="*/ 2349500 w 2349500"/>
            <a:gd name="connsiteY3" fmla="*/ 159728 h 2809524"/>
            <a:gd name="connsiteX4" fmla="*/ 2293937 w 2349500"/>
            <a:gd name="connsiteY4" fmla="*/ 2427194 h 2809524"/>
            <a:gd name="connsiteX5" fmla="*/ 1911607 w 2349500"/>
            <a:gd name="connsiteY5" fmla="*/ 2809524 h 2809524"/>
            <a:gd name="connsiteX6" fmla="*/ 382330 w 2349500"/>
            <a:gd name="connsiteY6" fmla="*/ 2809524 h 2809524"/>
            <a:gd name="connsiteX7" fmla="*/ 0 w 2349500"/>
            <a:gd name="connsiteY7" fmla="*/ 2427194 h 2809524"/>
            <a:gd name="connsiteX8" fmla="*/ 0 w 2349500"/>
            <a:gd name="connsiteY8" fmla="*/ 389916 h 2809524"/>
            <a:gd name="connsiteX0" fmla="*/ 0 w 2349500"/>
            <a:gd name="connsiteY0" fmla="*/ 389916 h 2809524"/>
            <a:gd name="connsiteX1" fmla="*/ 382330 w 2349500"/>
            <a:gd name="connsiteY1" fmla="*/ 7586 h 2809524"/>
            <a:gd name="connsiteX2" fmla="*/ 1911607 w 2349500"/>
            <a:gd name="connsiteY2" fmla="*/ 7586 h 2809524"/>
            <a:gd name="connsiteX3" fmla="*/ 2349500 w 2349500"/>
            <a:gd name="connsiteY3" fmla="*/ 159728 h 2809524"/>
            <a:gd name="connsiteX4" fmla="*/ 2293937 w 2349500"/>
            <a:gd name="connsiteY4" fmla="*/ 2427194 h 2809524"/>
            <a:gd name="connsiteX5" fmla="*/ 2309811 w 2349500"/>
            <a:gd name="connsiteY5" fmla="*/ 2761898 h 2809524"/>
            <a:gd name="connsiteX6" fmla="*/ 1911607 w 2349500"/>
            <a:gd name="connsiteY6" fmla="*/ 2809524 h 2809524"/>
            <a:gd name="connsiteX7" fmla="*/ 382330 w 2349500"/>
            <a:gd name="connsiteY7" fmla="*/ 2809524 h 2809524"/>
            <a:gd name="connsiteX8" fmla="*/ 0 w 2349500"/>
            <a:gd name="connsiteY8" fmla="*/ 2427194 h 2809524"/>
            <a:gd name="connsiteX9" fmla="*/ 0 w 2349500"/>
            <a:gd name="connsiteY9" fmla="*/ 389916 h 2809524"/>
            <a:gd name="connsiteX0" fmla="*/ 7555 w 2357055"/>
            <a:gd name="connsiteY0" fmla="*/ 389916 h 2815675"/>
            <a:gd name="connsiteX1" fmla="*/ 389885 w 2357055"/>
            <a:gd name="connsiteY1" fmla="*/ 7586 h 2815675"/>
            <a:gd name="connsiteX2" fmla="*/ 1919162 w 2357055"/>
            <a:gd name="connsiteY2" fmla="*/ 7586 h 2815675"/>
            <a:gd name="connsiteX3" fmla="*/ 2357055 w 2357055"/>
            <a:gd name="connsiteY3" fmla="*/ 159728 h 2815675"/>
            <a:gd name="connsiteX4" fmla="*/ 2301492 w 2357055"/>
            <a:gd name="connsiteY4" fmla="*/ 2427194 h 2815675"/>
            <a:gd name="connsiteX5" fmla="*/ 2317366 w 2357055"/>
            <a:gd name="connsiteY5" fmla="*/ 2761898 h 2815675"/>
            <a:gd name="connsiteX6" fmla="*/ 1919162 w 2357055"/>
            <a:gd name="connsiteY6" fmla="*/ 2809524 h 2815675"/>
            <a:gd name="connsiteX7" fmla="*/ 389885 w 2357055"/>
            <a:gd name="connsiteY7" fmla="*/ 2809524 h 2815675"/>
            <a:gd name="connsiteX8" fmla="*/ 31366 w 2357055"/>
            <a:gd name="connsiteY8" fmla="*/ 2785710 h 2815675"/>
            <a:gd name="connsiteX9" fmla="*/ 7555 w 2357055"/>
            <a:gd name="connsiteY9" fmla="*/ 2427194 h 2815675"/>
            <a:gd name="connsiteX10" fmla="*/ 7555 w 2357055"/>
            <a:gd name="connsiteY10" fmla="*/ 389916 h 2815675"/>
            <a:gd name="connsiteX0" fmla="*/ 45304 w 2394804"/>
            <a:gd name="connsiteY0" fmla="*/ 389916 h 2815675"/>
            <a:gd name="connsiteX1" fmla="*/ 21491 w 2394804"/>
            <a:gd name="connsiteY1" fmla="*/ 47273 h 2815675"/>
            <a:gd name="connsiteX2" fmla="*/ 427634 w 2394804"/>
            <a:gd name="connsiteY2" fmla="*/ 7586 h 2815675"/>
            <a:gd name="connsiteX3" fmla="*/ 1956911 w 2394804"/>
            <a:gd name="connsiteY3" fmla="*/ 7586 h 2815675"/>
            <a:gd name="connsiteX4" fmla="*/ 2394804 w 2394804"/>
            <a:gd name="connsiteY4" fmla="*/ 159728 h 2815675"/>
            <a:gd name="connsiteX5" fmla="*/ 2339241 w 2394804"/>
            <a:gd name="connsiteY5" fmla="*/ 2427194 h 2815675"/>
            <a:gd name="connsiteX6" fmla="*/ 2355115 w 2394804"/>
            <a:gd name="connsiteY6" fmla="*/ 2761898 h 2815675"/>
            <a:gd name="connsiteX7" fmla="*/ 1956911 w 2394804"/>
            <a:gd name="connsiteY7" fmla="*/ 2809524 h 2815675"/>
            <a:gd name="connsiteX8" fmla="*/ 427634 w 2394804"/>
            <a:gd name="connsiteY8" fmla="*/ 2809524 h 2815675"/>
            <a:gd name="connsiteX9" fmla="*/ 69115 w 2394804"/>
            <a:gd name="connsiteY9" fmla="*/ 2785710 h 2815675"/>
            <a:gd name="connsiteX10" fmla="*/ 45304 w 2394804"/>
            <a:gd name="connsiteY10" fmla="*/ 2427194 h 2815675"/>
            <a:gd name="connsiteX11" fmla="*/ 45304 w 2394804"/>
            <a:gd name="connsiteY11" fmla="*/ 389916 h 2815675"/>
            <a:gd name="connsiteX0" fmla="*/ 45304 w 2386866"/>
            <a:gd name="connsiteY0" fmla="*/ 384531 h 2810290"/>
            <a:gd name="connsiteX1" fmla="*/ 21491 w 2386866"/>
            <a:gd name="connsiteY1" fmla="*/ 41888 h 2810290"/>
            <a:gd name="connsiteX2" fmla="*/ 427634 w 2386866"/>
            <a:gd name="connsiteY2" fmla="*/ 2201 h 2810290"/>
            <a:gd name="connsiteX3" fmla="*/ 1956911 w 2386866"/>
            <a:gd name="connsiteY3" fmla="*/ 2201 h 2810290"/>
            <a:gd name="connsiteX4" fmla="*/ 2386866 w 2386866"/>
            <a:gd name="connsiteY4" fmla="*/ 178155 h 2810290"/>
            <a:gd name="connsiteX5" fmla="*/ 2339241 w 2386866"/>
            <a:gd name="connsiteY5" fmla="*/ 2421809 h 2810290"/>
            <a:gd name="connsiteX6" fmla="*/ 2355115 w 2386866"/>
            <a:gd name="connsiteY6" fmla="*/ 2756513 h 2810290"/>
            <a:gd name="connsiteX7" fmla="*/ 1956911 w 2386866"/>
            <a:gd name="connsiteY7" fmla="*/ 2804139 h 2810290"/>
            <a:gd name="connsiteX8" fmla="*/ 427634 w 2386866"/>
            <a:gd name="connsiteY8" fmla="*/ 2804139 h 2810290"/>
            <a:gd name="connsiteX9" fmla="*/ 69115 w 2386866"/>
            <a:gd name="connsiteY9" fmla="*/ 2780325 h 2810290"/>
            <a:gd name="connsiteX10" fmla="*/ 45304 w 2386866"/>
            <a:gd name="connsiteY10" fmla="*/ 2421809 h 2810290"/>
            <a:gd name="connsiteX11" fmla="*/ 45304 w 2386866"/>
            <a:gd name="connsiteY11" fmla="*/ 384531 h 2810290"/>
            <a:gd name="connsiteX0" fmla="*/ 45304 w 2386866"/>
            <a:gd name="connsiteY0" fmla="*/ 382330 h 2808089"/>
            <a:gd name="connsiteX1" fmla="*/ 21491 w 2386866"/>
            <a:gd name="connsiteY1" fmla="*/ 39687 h 2808089"/>
            <a:gd name="connsiteX2" fmla="*/ 427634 w 2386866"/>
            <a:gd name="connsiteY2" fmla="*/ 0 h 2808089"/>
            <a:gd name="connsiteX3" fmla="*/ 1956911 w 2386866"/>
            <a:gd name="connsiteY3" fmla="*/ 0 h 2808089"/>
            <a:gd name="connsiteX4" fmla="*/ 2386866 w 2386866"/>
            <a:gd name="connsiteY4" fmla="*/ 175954 h 2808089"/>
            <a:gd name="connsiteX5" fmla="*/ 2339241 w 2386866"/>
            <a:gd name="connsiteY5" fmla="*/ 2419608 h 2808089"/>
            <a:gd name="connsiteX6" fmla="*/ 2355115 w 2386866"/>
            <a:gd name="connsiteY6" fmla="*/ 2754312 h 2808089"/>
            <a:gd name="connsiteX7" fmla="*/ 1956911 w 2386866"/>
            <a:gd name="connsiteY7" fmla="*/ 2801938 h 2808089"/>
            <a:gd name="connsiteX8" fmla="*/ 427634 w 2386866"/>
            <a:gd name="connsiteY8" fmla="*/ 2801938 h 2808089"/>
            <a:gd name="connsiteX9" fmla="*/ 69115 w 2386866"/>
            <a:gd name="connsiteY9" fmla="*/ 2778124 h 2808089"/>
            <a:gd name="connsiteX10" fmla="*/ 45304 w 2386866"/>
            <a:gd name="connsiteY10" fmla="*/ 2419608 h 2808089"/>
            <a:gd name="connsiteX11" fmla="*/ 45304 w 2386866"/>
            <a:gd name="connsiteY11" fmla="*/ 382330 h 280808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386866" h="2808089">
              <a:moveTo>
                <a:pt x="45304" y="382330"/>
              </a:moveTo>
              <a:cubicBezTo>
                <a:pt x="57210" y="229"/>
                <a:pt x="-42231" y="103409"/>
                <a:pt x="21491" y="39687"/>
              </a:cubicBezTo>
              <a:cubicBezTo>
                <a:pt x="85213" y="-24035"/>
                <a:pt x="120939" y="21167"/>
                <a:pt x="427634" y="0"/>
              </a:cubicBezTo>
              <a:lnTo>
                <a:pt x="1956911" y="0"/>
              </a:lnTo>
              <a:cubicBezTo>
                <a:pt x="2168066" y="0"/>
                <a:pt x="2370991" y="44174"/>
                <a:pt x="2386866" y="175954"/>
              </a:cubicBezTo>
              <a:cubicBezTo>
                <a:pt x="2386866" y="855047"/>
                <a:pt x="2339241" y="1740515"/>
                <a:pt x="2339241" y="2419608"/>
              </a:cubicBezTo>
              <a:cubicBezTo>
                <a:pt x="2316751" y="2840074"/>
                <a:pt x="2418837" y="2690590"/>
                <a:pt x="2355115" y="2754312"/>
              </a:cubicBezTo>
              <a:cubicBezTo>
                <a:pt x="2291393" y="2818034"/>
                <a:pt x="2262283" y="2780771"/>
                <a:pt x="1956911" y="2801938"/>
              </a:cubicBezTo>
              <a:lnTo>
                <a:pt x="427634" y="2801938"/>
              </a:lnTo>
              <a:cubicBezTo>
                <a:pt x="124908" y="2780771"/>
                <a:pt x="132837" y="2841846"/>
                <a:pt x="69115" y="2778124"/>
              </a:cubicBezTo>
              <a:cubicBezTo>
                <a:pt x="5393" y="2714402"/>
                <a:pt x="61179" y="2801709"/>
                <a:pt x="45304" y="2419608"/>
              </a:cubicBezTo>
              <a:lnTo>
                <a:pt x="45304" y="382330"/>
              </a:lnTo>
              <a:close/>
            </a:path>
          </a:pathLst>
        </a:custGeom>
        <a:noFill/>
        <a:ln w="57150" cap="flat" cmpd="sng" algn="ctr">
          <a:solidFill>
            <a:schemeClr val="accent1"/>
          </a:solidFill>
          <a:prstDash val="sysDot"/>
          <a:round/>
          <a:headEnd type="none" w="med" len="med"/>
          <a:tailEnd type="none" w="med" len="med"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7936</xdr:colOff>
      <xdr:row>2</xdr:row>
      <xdr:rowOff>293689</xdr:rowOff>
    </xdr:from>
    <xdr:to>
      <xdr:col>6</xdr:col>
      <xdr:colOff>7938</xdr:colOff>
      <xdr:row>15</xdr:row>
      <xdr:rowOff>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3FC42A8-CC22-935B-DD3E-B912AC987D09}"/>
            </a:ext>
          </a:extLst>
        </xdr:cNvPr>
        <xdr:cNvSpPr/>
      </xdr:nvSpPr>
      <xdr:spPr>
        <a:xfrm>
          <a:off x="3921124" y="658814"/>
          <a:ext cx="2293939" cy="2754312"/>
        </a:xfrm>
        <a:prstGeom prst="roundRect">
          <a:avLst>
            <a:gd name="adj" fmla="val 2480"/>
          </a:avLst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7938</xdr:colOff>
      <xdr:row>2</xdr:row>
      <xdr:rowOff>293688</xdr:rowOff>
    </xdr:from>
    <xdr:to>
      <xdr:col>2</xdr:col>
      <xdr:colOff>1016000</xdr:colOff>
      <xdr:row>15</xdr:row>
      <xdr:rowOff>7938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780FAD4-5600-CF80-BE09-0DAAF3F874F4}"/>
            </a:ext>
          </a:extLst>
        </xdr:cNvPr>
        <xdr:cNvSpPr/>
      </xdr:nvSpPr>
      <xdr:spPr>
        <a:xfrm>
          <a:off x="7938" y="658813"/>
          <a:ext cx="3286125" cy="2762250"/>
        </a:xfrm>
        <a:prstGeom prst="roundRect">
          <a:avLst>
            <a:gd name="adj" fmla="val 4311"/>
          </a:avLst>
        </a:prstGeom>
        <a:noFill/>
        <a:ln w="57150" cap="flat" cmpd="sng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579439</xdr:colOff>
      <xdr:row>2</xdr:row>
      <xdr:rowOff>285750</xdr:rowOff>
    </xdr:from>
    <xdr:to>
      <xdr:col>10</xdr:col>
      <xdr:colOff>31751</xdr:colOff>
      <xdr:row>14</xdr:row>
      <xdr:rowOff>214312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A7E3637-4D9D-4D5F-B86C-F97527A534AC}"/>
            </a:ext>
          </a:extLst>
        </xdr:cNvPr>
        <xdr:cNvSpPr/>
      </xdr:nvSpPr>
      <xdr:spPr>
        <a:xfrm>
          <a:off x="6786564" y="650875"/>
          <a:ext cx="3421062" cy="2754312"/>
        </a:xfrm>
        <a:prstGeom prst="roundRect">
          <a:avLst>
            <a:gd name="adj" fmla="val 2480"/>
          </a:avLst>
        </a:prstGeom>
        <a:noFill/>
        <a:ln w="57150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</xdr:row>
      <xdr:rowOff>23813</xdr:rowOff>
    </xdr:from>
    <xdr:to>
      <xdr:col>14</xdr:col>
      <xdr:colOff>0</xdr:colOff>
      <xdr:row>15</xdr:row>
      <xdr:rowOff>31750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9481353-F281-47E3-9D62-FD6A505080D3}"/>
            </a:ext>
          </a:extLst>
        </xdr:cNvPr>
        <xdr:cNvSpPr/>
      </xdr:nvSpPr>
      <xdr:spPr>
        <a:xfrm>
          <a:off x="10787063" y="690563"/>
          <a:ext cx="3016250" cy="2754312"/>
        </a:xfrm>
        <a:prstGeom prst="roundRect">
          <a:avLst>
            <a:gd name="adj" fmla="val 2480"/>
          </a:avLst>
        </a:prstGeom>
        <a:noFill/>
        <a:ln w="5715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31750</xdr:colOff>
      <xdr:row>0</xdr:row>
      <xdr:rowOff>15875</xdr:rowOff>
    </xdr:from>
    <xdr:to>
      <xdr:col>14</xdr:col>
      <xdr:colOff>23812</xdr:colOff>
      <xdr:row>2</xdr:row>
      <xdr:rowOff>269875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7E45FE3-DCBA-660C-E093-2F9F80497A46}"/>
            </a:ext>
          </a:extLst>
        </xdr:cNvPr>
        <xdr:cNvSpPr/>
      </xdr:nvSpPr>
      <xdr:spPr>
        <a:xfrm>
          <a:off x="31750" y="15875"/>
          <a:ext cx="13795375" cy="619125"/>
        </a:xfrm>
        <a:prstGeom prst="roundRect">
          <a:avLst/>
        </a:prstGeom>
        <a:noFill/>
        <a:ln w="381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16711</xdr:colOff>
      <xdr:row>0</xdr:row>
      <xdr:rowOff>175461</xdr:rowOff>
    </xdr:from>
    <xdr:to>
      <xdr:col>11</xdr:col>
      <xdr:colOff>0</xdr:colOff>
      <xdr:row>3</xdr:row>
      <xdr:rowOff>350921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805949D-B5CE-825E-CF8C-7725CC754CBB}"/>
            </a:ext>
          </a:extLst>
        </xdr:cNvPr>
        <xdr:cNvSpPr/>
      </xdr:nvSpPr>
      <xdr:spPr>
        <a:xfrm>
          <a:off x="16711" y="175461"/>
          <a:ext cx="8931776" cy="927434"/>
        </a:xfrm>
        <a:prstGeom prst="roundRect">
          <a:avLst>
            <a:gd name="adj" fmla="val 1352"/>
          </a:avLst>
        </a:prstGeom>
        <a:noFill/>
        <a:ln w="57150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5</xdr:row>
      <xdr:rowOff>150395</xdr:rowOff>
    </xdr:from>
    <xdr:to>
      <xdr:col>10</xdr:col>
      <xdr:colOff>710197</xdr:colOff>
      <xdr:row>8</xdr:row>
      <xdr:rowOff>41776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0D4CFB6-1DF8-4A1A-AE9D-0C5C4552BC0B}"/>
            </a:ext>
          </a:extLst>
        </xdr:cNvPr>
        <xdr:cNvSpPr/>
      </xdr:nvSpPr>
      <xdr:spPr>
        <a:xfrm>
          <a:off x="0" y="1445461"/>
          <a:ext cx="8931776" cy="852236"/>
        </a:xfrm>
        <a:prstGeom prst="roundRect">
          <a:avLst>
            <a:gd name="adj" fmla="val 1352"/>
          </a:avLst>
        </a:prstGeom>
        <a:noFill/>
        <a:ln w="57150" cap="flat" cmpd="sng" algn="ctr">
          <a:solidFill>
            <a:schemeClr val="tx2">
              <a:lumMod val="90000"/>
              <a:lumOff val="10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9</xdr:row>
      <xdr:rowOff>150394</xdr:rowOff>
    </xdr:from>
    <xdr:to>
      <xdr:col>10</xdr:col>
      <xdr:colOff>710197</xdr:colOff>
      <xdr:row>13</xdr:row>
      <xdr:rowOff>8356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84E2EEB-A2EE-4698-856A-4DF7861629C9}"/>
            </a:ext>
          </a:extLst>
        </xdr:cNvPr>
        <xdr:cNvSpPr/>
      </xdr:nvSpPr>
      <xdr:spPr>
        <a:xfrm>
          <a:off x="0" y="2590131"/>
          <a:ext cx="8931776" cy="1144672"/>
        </a:xfrm>
        <a:prstGeom prst="roundRect">
          <a:avLst>
            <a:gd name="adj" fmla="val 1352"/>
          </a:avLst>
        </a:prstGeom>
        <a:noFill/>
        <a:ln w="57150" cap="flat" cmpd="sng" algn="ctr">
          <a:solidFill>
            <a:schemeClr val="accent5">
              <a:lumMod val="50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16710</xdr:colOff>
      <xdr:row>13</xdr:row>
      <xdr:rowOff>167105</xdr:rowOff>
    </xdr:from>
    <xdr:to>
      <xdr:col>10</xdr:col>
      <xdr:colOff>726907</xdr:colOff>
      <xdr:row>17</xdr:row>
      <xdr:rowOff>33421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4CCBBD2-4B3D-4FC5-A1B5-94F823B9B1E0}"/>
            </a:ext>
          </a:extLst>
        </xdr:cNvPr>
        <xdr:cNvSpPr/>
      </xdr:nvSpPr>
      <xdr:spPr>
        <a:xfrm>
          <a:off x="16710" y="3893552"/>
          <a:ext cx="8931776" cy="785395"/>
        </a:xfrm>
        <a:prstGeom prst="roundRect">
          <a:avLst>
            <a:gd name="adj" fmla="val 1352"/>
          </a:avLst>
        </a:prstGeom>
        <a:noFill/>
        <a:ln w="57150" cap="flat" cmpd="sng" algn="ctr">
          <a:solidFill>
            <a:schemeClr val="accent2">
              <a:lumMod val="50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44718</xdr:colOff>
      <xdr:row>0</xdr:row>
      <xdr:rowOff>169930</xdr:rowOff>
    </xdr:from>
    <xdr:to>
      <xdr:col>12</xdr:col>
      <xdr:colOff>590282</xdr:colOff>
      <xdr:row>17</xdr:row>
      <xdr:rowOff>26831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4F67DB2-3530-6CD5-8633-79926AD23511}"/>
            </a:ext>
          </a:extLst>
        </xdr:cNvPr>
        <xdr:cNvSpPr/>
      </xdr:nvSpPr>
      <xdr:spPr>
        <a:xfrm>
          <a:off x="8988380" y="169930"/>
          <a:ext cx="1153733" cy="4525493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ys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17397</xdr:colOff>
      <xdr:row>0</xdr:row>
      <xdr:rowOff>26096</xdr:rowOff>
    </xdr:from>
    <xdr:to>
      <xdr:col>18</xdr:col>
      <xdr:colOff>147876</xdr:colOff>
      <xdr:row>12</xdr:row>
      <xdr:rowOff>139178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F90DDD-792A-9173-C6B4-BC9D043AF9F6}"/>
            </a:ext>
          </a:extLst>
        </xdr:cNvPr>
        <xdr:cNvSpPr/>
      </xdr:nvSpPr>
      <xdr:spPr>
        <a:xfrm>
          <a:off x="17397" y="26096"/>
          <a:ext cx="15405274" cy="3035822"/>
        </a:xfrm>
        <a:prstGeom prst="roundRect">
          <a:avLst>
            <a:gd name="adj" fmla="val 2381"/>
          </a:avLst>
        </a:prstGeom>
        <a:noFill/>
        <a:ln w="38100" cap="flat" cmpd="sng" algn="ctr">
          <a:solidFill>
            <a:schemeClr val="dk1"/>
          </a:solidFill>
          <a:prstDash val="sys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17397</xdr:colOff>
      <xdr:row>14</xdr:row>
      <xdr:rowOff>287055</xdr:rowOff>
    </xdr:from>
    <xdr:to>
      <xdr:col>9</xdr:col>
      <xdr:colOff>713288</xdr:colOff>
      <xdr:row>14</xdr:row>
      <xdr:rowOff>295753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7DCF8B7-9A04-6114-F2A9-1F8B47DE57E6}"/>
            </a:ext>
          </a:extLst>
        </xdr:cNvPr>
        <xdr:cNvCxnSpPr/>
      </xdr:nvCxnSpPr>
      <xdr:spPr>
        <a:xfrm flipH="1">
          <a:off x="8855205" y="3792603"/>
          <a:ext cx="695891" cy="869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661096</xdr:colOff>
      <xdr:row>17</xdr:row>
      <xdr:rowOff>86986</xdr:rowOff>
    </xdr:from>
    <xdr:to>
      <xdr:col>2</xdr:col>
      <xdr:colOff>1148220</xdr:colOff>
      <xdr:row>20</xdr:row>
      <xdr:rowOff>130480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9F5C376-3E61-5BFA-9B06-B4401CD65C93}"/>
            </a:ext>
          </a:extLst>
        </xdr:cNvPr>
        <xdr:cNvCxnSpPr/>
      </xdr:nvCxnSpPr>
      <xdr:spPr>
        <a:xfrm flipH="1" flipV="1">
          <a:off x="2861849" y="4514589"/>
          <a:ext cx="487124" cy="5915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295753</xdr:colOff>
      <xdr:row>17</xdr:row>
      <xdr:rowOff>69589</xdr:rowOff>
    </xdr:from>
    <xdr:to>
      <xdr:col>4</xdr:col>
      <xdr:colOff>217466</xdr:colOff>
      <xdr:row>20</xdr:row>
      <xdr:rowOff>104384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B438D38-F9C9-463D-969E-D11563A464E0}"/>
            </a:ext>
          </a:extLst>
        </xdr:cNvPr>
        <xdr:cNvCxnSpPr/>
      </xdr:nvCxnSpPr>
      <xdr:spPr>
        <a:xfrm flipV="1">
          <a:off x="3688219" y="4497192"/>
          <a:ext cx="530617" cy="5828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0B6A62-F2C7-4F9F-BD9F-192116DC7B33}" name="Table2" displayName="Table2" ref="A5:C15" totalsRowShown="0" headerRowDxfId="27" dataDxfId="26">
  <autoFilter ref="A5:C15" xr:uid="{DC0B6A62-F2C7-4F9F-BD9F-192116DC7B33}">
    <filterColumn colId="0" hiddenButton="1"/>
    <filterColumn colId="1" hiddenButton="1"/>
    <filterColumn colId="2" hiddenButton="1"/>
  </autoFilter>
  <tableColumns count="3">
    <tableColumn id="1" xr3:uid="{0C5369F1-4A73-45DC-9003-ADB20E91ED33}" name="Name" dataDxfId="25"/>
    <tableColumn id="2" xr3:uid="{117EE97A-066C-434D-83D8-B467D9372C8D}" name="Department ID" dataDxfId="24"/>
    <tableColumn id="3" xr3:uid="{759590BC-C03E-4C0B-A239-7BA7ED045A50}" name="Class Teacher" dataDxfId="2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C349E3-0D78-45AC-91AC-A9A576DF0133}" name="Table3" displayName="Table3" ref="E5:F15" totalsRowShown="0" headerRowDxfId="22" dataDxfId="21">
  <autoFilter ref="E5:F15" xr:uid="{2BC349E3-0D78-45AC-91AC-A9A576DF0133}">
    <filterColumn colId="0" hiddenButton="1"/>
    <filterColumn colId="1" hiddenButton="1"/>
  </autoFilter>
  <tableColumns count="2">
    <tableColumn id="1" xr3:uid="{42E42884-2A23-40C7-AAD7-93B28D17CE03}" name="Department ID" dataDxfId="20"/>
    <tableColumn id="2" xr3:uid="{C081C50A-2AB6-4313-B586-0525904C9B38}" name="HOD" dataDxfId="1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FD782F-441A-410D-8E20-AD12D0A39B13}" name="Table4" displayName="Table4" ref="H5:J15" totalsRowShown="0" headerRowDxfId="18" dataDxfId="17">
  <autoFilter ref="H5:J15" xr:uid="{B8FD782F-441A-410D-8E20-AD12D0A39B13}">
    <filterColumn colId="0" hiddenButton="1"/>
    <filterColumn colId="1" hiddenButton="1"/>
    <filterColumn colId="2" hiddenButton="1"/>
  </autoFilter>
  <tableColumns count="3">
    <tableColumn id="1" xr3:uid="{EDBB7142-2C6D-47D9-83A0-763D22907617}" name="HOD" dataDxfId="16"/>
    <tableColumn id="2" xr3:uid="{CF27D286-20C6-4C69-9F6E-619C07F9B4B0}" name="Department" dataDxfId="15"/>
    <tableColumn id="3" xr3:uid="{9A340220-0C28-47C4-AD35-00AE67247889}" name="Major Subject" dataDxfId="14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680129-57C6-4724-8FD3-9B6E3656987F}" name="Table5" displayName="Table5" ref="L5:N15" totalsRowShown="0" headerRowDxfId="13" dataDxfId="12">
  <autoFilter ref="L5:N15" xr:uid="{52680129-57C6-4724-8FD3-9B6E3656987F}">
    <filterColumn colId="0" hiddenButton="1"/>
    <filterColumn colId="1" hiddenButton="1"/>
    <filterColumn colId="2" hiddenButton="1"/>
  </autoFilter>
  <tableColumns count="3">
    <tableColumn id="1" xr3:uid="{BB2993AF-1736-493D-9A11-60A101AB48BB}" name="Major Subject" dataDxfId="11"/>
    <tableColumn id="2" xr3:uid="{0DAFA7C6-61C0-454C-8344-08EE7447EA9A}" name="Credits" dataDxfId="10"/>
    <tableColumn id="3" xr3:uid="{2EEE7881-0DE8-41AA-9C90-70D2D4B2AD35}" name="Duration" dataDxfId="9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CC443A5-0753-48A2-9965-D76816C5C12E}" name="Table224" displayName="Table224" ref="A2:C12" totalsRowShown="0" headerRowDxfId="8" dataDxfId="7">
  <autoFilter ref="A2:C12" xr:uid="{6CC443A5-0753-48A2-9965-D76816C5C12E}">
    <filterColumn colId="0" hiddenButton="1"/>
    <filterColumn colId="1" hiddenButton="1"/>
    <filterColumn colId="2" hiddenButton="1"/>
  </autoFilter>
  <tableColumns count="3">
    <tableColumn id="1" xr3:uid="{F9044F0C-CD1A-40E7-8680-4678A5203BC8}" name="Name" dataDxfId="6"/>
    <tableColumn id="2" xr3:uid="{B1376229-52B0-49FD-A9C6-881682CB2203}" name="Department ID" dataDxfId="5"/>
    <tableColumn id="3" xr3:uid="{69E8561A-31ED-43E2-A034-566CCFC4194D}" name="Class Teacher" dataDxfId="4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3513F43-EFE8-4F3A-9D60-42CCD98DDE4D}" name="Table325" displayName="Table325" ref="E2:F12" totalsRowShown="0" headerRowDxfId="3" dataDxfId="2">
  <autoFilter ref="E2:F12" xr:uid="{D3513F43-EFE8-4F3A-9D60-42CCD98DDE4D}">
    <filterColumn colId="0" hiddenButton="1"/>
    <filterColumn colId="1" hiddenButton="1"/>
  </autoFilter>
  <tableColumns count="2">
    <tableColumn id="1" xr3:uid="{3446FEC9-816A-43DC-A728-959D9147C197}" name="Department ID" dataDxfId="1"/>
    <tableColumn id="2" xr3:uid="{078B04DA-7F96-43E0-BEAD-AE50F32D20AA}" name="HOD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7AF6-E0FA-4A84-9CCB-0A8328CA6600}">
  <dimension ref="A1:N20"/>
  <sheetViews>
    <sheetView topLeftCell="A9" zoomScale="80" workbookViewId="0">
      <selection activeCell="L19" sqref="L19:M20"/>
    </sheetView>
  </sheetViews>
  <sheetFormatPr defaultRowHeight="14.5" x14ac:dyDescent="0.35"/>
  <cols>
    <col min="1" max="1" width="17.54296875" bestFit="1" customWidth="1"/>
    <col min="2" max="2" width="15.08984375" customWidth="1"/>
    <col min="3" max="3" width="14.6328125" customWidth="1"/>
    <col min="5" max="5" width="16.90625" bestFit="1" customWidth="1"/>
    <col min="6" max="6" width="15.90625" customWidth="1"/>
    <col min="8" max="8" width="14" customWidth="1"/>
    <col min="9" max="9" width="18.453125" customWidth="1"/>
    <col min="10" max="10" width="15.6328125" customWidth="1"/>
    <col min="12" max="12" width="17.26953125" bestFit="1" customWidth="1"/>
    <col min="13" max="13" width="16.81640625" customWidth="1"/>
    <col min="14" max="14" width="16.81640625" bestFit="1" customWidth="1"/>
  </cols>
  <sheetData>
    <row r="1" spans="1:14" x14ac:dyDescent="0.35">
      <c r="A1" s="35" t="s">
        <v>38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24" customHeight="1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26" x14ac:dyDescent="0.6">
      <c r="A4" s="31" t="s">
        <v>37</v>
      </c>
      <c r="B4" s="31"/>
      <c r="C4" s="31"/>
      <c r="D4" s="2"/>
      <c r="E4" s="32" t="s">
        <v>26</v>
      </c>
      <c r="F4" s="32"/>
      <c r="G4" s="2"/>
      <c r="H4" s="33" t="s">
        <v>27</v>
      </c>
      <c r="I4" s="33"/>
      <c r="J4" s="33"/>
      <c r="K4" s="2"/>
      <c r="L4" s="34" t="s">
        <v>28</v>
      </c>
      <c r="M4" s="34"/>
      <c r="N4" s="34"/>
    </row>
    <row r="5" spans="1:14" ht="16" x14ac:dyDescent="0.4">
      <c r="A5" s="3" t="s">
        <v>0</v>
      </c>
      <c r="B5" s="3" t="s">
        <v>3</v>
      </c>
      <c r="C5" s="3" t="s">
        <v>1</v>
      </c>
      <c r="D5" s="4"/>
      <c r="E5" s="3" t="s">
        <v>3</v>
      </c>
      <c r="F5" s="3" t="s">
        <v>33</v>
      </c>
      <c r="G5" s="4"/>
      <c r="H5" s="3" t="s">
        <v>33</v>
      </c>
      <c r="I5" s="3" t="s">
        <v>34</v>
      </c>
      <c r="J5" s="3" t="s">
        <v>2</v>
      </c>
      <c r="K5" s="4"/>
      <c r="L5" s="3" t="s">
        <v>2</v>
      </c>
      <c r="M5" s="3" t="s">
        <v>24</v>
      </c>
      <c r="N5" s="3" t="s">
        <v>35</v>
      </c>
    </row>
    <row r="6" spans="1:14" ht="18.5" x14ac:dyDescent="0.45">
      <c r="A6" s="1" t="s">
        <v>29</v>
      </c>
      <c r="B6" s="1" t="s">
        <v>5</v>
      </c>
      <c r="C6" s="1" t="s">
        <v>4</v>
      </c>
      <c r="D6" s="5"/>
      <c r="E6" s="1" t="s">
        <v>5</v>
      </c>
      <c r="F6" s="1" t="s">
        <v>12</v>
      </c>
      <c r="G6" s="5"/>
      <c r="H6" s="1" t="s">
        <v>12</v>
      </c>
      <c r="I6" s="1" t="s">
        <v>16</v>
      </c>
      <c r="J6" s="1" t="s">
        <v>17</v>
      </c>
      <c r="K6" s="5"/>
      <c r="L6" s="1" t="s">
        <v>17</v>
      </c>
      <c r="M6" s="1">
        <v>4</v>
      </c>
      <c r="N6" s="1" t="s">
        <v>25</v>
      </c>
    </row>
    <row r="7" spans="1:14" ht="18.5" x14ac:dyDescent="0.45">
      <c r="A7" s="1" t="s">
        <v>30</v>
      </c>
      <c r="B7" s="1" t="s">
        <v>7</v>
      </c>
      <c r="C7" s="1" t="s">
        <v>6</v>
      </c>
      <c r="D7" s="5"/>
      <c r="E7" s="1" t="s">
        <v>7</v>
      </c>
      <c r="F7" s="1" t="s">
        <v>13</v>
      </c>
      <c r="G7" s="5"/>
      <c r="H7" s="1" t="s">
        <v>13</v>
      </c>
      <c r="I7" s="1" t="s">
        <v>18</v>
      </c>
      <c r="J7" s="1" t="s">
        <v>19</v>
      </c>
      <c r="K7" s="5"/>
      <c r="L7" s="1" t="s">
        <v>19</v>
      </c>
      <c r="M7" s="1">
        <v>5</v>
      </c>
      <c r="N7" s="1" t="s">
        <v>36</v>
      </c>
    </row>
    <row r="8" spans="1:14" ht="18.5" customHeight="1" x14ac:dyDescent="0.45">
      <c r="A8" s="1" t="s">
        <v>31</v>
      </c>
      <c r="B8" s="1" t="s">
        <v>9</v>
      </c>
      <c r="C8" s="1" t="s">
        <v>8</v>
      </c>
      <c r="D8" s="5"/>
      <c r="E8" s="1" t="s">
        <v>9</v>
      </c>
      <c r="F8" s="1" t="s">
        <v>14</v>
      </c>
      <c r="G8" s="5"/>
      <c r="H8" s="1" t="s">
        <v>14</v>
      </c>
      <c r="I8" s="1" t="s">
        <v>20</v>
      </c>
      <c r="J8" s="1" t="s">
        <v>21</v>
      </c>
      <c r="K8" s="5"/>
      <c r="L8" s="1" t="s">
        <v>21</v>
      </c>
      <c r="M8" s="1">
        <v>3</v>
      </c>
      <c r="N8" s="1" t="s">
        <v>25</v>
      </c>
    </row>
    <row r="9" spans="1:14" ht="18.5" x14ac:dyDescent="0.45">
      <c r="A9" s="1" t="s">
        <v>32</v>
      </c>
      <c r="B9" s="1" t="s">
        <v>11</v>
      </c>
      <c r="C9" s="1" t="s">
        <v>10</v>
      </c>
      <c r="D9" s="5"/>
      <c r="E9" s="1" t="s">
        <v>11</v>
      </c>
      <c r="F9" s="1" t="s">
        <v>15</v>
      </c>
      <c r="G9" s="5"/>
      <c r="H9" s="1" t="s">
        <v>15</v>
      </c>
      <c r="I9" s="1" t="s">
        <v>22</v>
      </c>
      <c r="J9" s="1" t="s">
        <v>23</v>
      </c>
      <c r="K9" s="5"/>
      <c r="L9" s="1" t="s">
        <v>23</v>
      </c>
      <c r="M9" s="1">
        <v>4</v>
      </c>
      <c r="N9" s="1" t="s">
        <v>36</v>
      </c>
    </row>
    <row r="10" spans="1:14" ht="16.5" customHeight="1" x14ac:dyDescent="0.35">
      <c r="A10" s="1" t="s">
        <v>39</v>
      </c>
      <c r="B10" s="1" t="s">
        <v>40</v>
      </c>
      <c r="C10" s="1" t="s">
        <v>41</v>
      </c>
      <c r="D10" s="6"/>
      <c r="E10" s="1" t="s">
        <v>40</v>
      </c>
      <c r="F10" s="1" t="s">
        <v>57</v>
      </c>
      <c r="G10" s="6"/>
      <c r="H10" s="1" t="s">
        <v>57</v>
      </c>
      <c r="I10" s="1" t="s">
        <v>63</v>
      </c>
      <c r="J10" s="1" t="s">
        <v>64</v>
      </c>
      <c r="K10" s="6"/>
      <c r="L10" s="1" t="s">
        <v>64</v>
      </c>
      <c r="M10" s="1">
        <v>6</v>
      </c>
      <c r="N10" s="1" t="s">
        <v>75</v>
      </c>
    </row>
    <row r="11" spans="1:14" ht="17" customHeight="1" x14ac:dyDescent="0.35">
      <c r="A11" s="1" t="s">
        <v>42</v>
      </c>
      <c r="B11" s="1" t="s">
        <v>43</v>
      </c>
      <c r="C11" s="1" t="s">
        <v>44</v>
      </c>
      <c r="D11" s="6"/>
      <c r="E11" s="1" t="s">
        <v>43</v>
      </c>
      <c r="F11" s="1" t="s">
        <v>58</v>
      </c>
      <c r="G11" s="6"/>
      <c r="H11" s="1" t="s">
        <v>58</v>
      </c>
      <c r="I11" s="1" t="s">
        <v>65</v>
      </c>
      <c r="J11" s="1" t="s">
        <v>66</v>
      </c>
      <c r="K11" s="6"/>
      <c r="L11" s="1" t="s">
        <v>66</v>
      </c>
      <c r="M11" s="1">
        <v>4</v>
      </c>
      <c r="N11" s="1" t="s">
        <v>36</v>
      </c>
    </row>
    <row r="12" spans="1:14" ht="17" customHeight="1" x14ac:dyDescent="0.35">
      <c r="A12" s="1" t="s">
        <v>45</v>
      </c>
      <c r="B12" s="1" t="s">
        <v>46</v>
      </c>
      <c r="C12" s="1" t="s">
        <v>47</v>
      </c>
      <c r="D12" s="6"/>
      <c r="E12" s="1" t="s">
        <v>46</v>
      </c>
      <c r="F12" s="1" t="s">
        <v>59</v>
      </c>
      <c r="G12" s="6"/>
      <c r="H12" s="1" t="s">
        <v>59</v>
      </c>
      <c r="I12" s="1" t="s">
        <v>67</v>
      </c>
      <c r="J12" s="1" t="s">
        <v>68</v>
      </c>
      <c r="K12" s="6"/>
      <c r="L12" s="1" t="s">
        <v>68</v>
      </c>
      <c r="M12" s="1">
        <v>5</v>
      </c>
      <c r="N12" s="1" t="s">
        <v>36</v>
      </c>
    </row>
    <row r="13" spans="1:14" ht="17" customHeight="1" x14ac:dyDescent="0.35">
      <c r="A13" s="1" t="s">
        <v>48</v>
      </c>
      <c r="B13" s="1" t="s">
        <v>49</v>
      </c>
      <c r="C13" s="1" t="s">
        <v>50</v>
      </c>
      <c r="D13" s="6"/>
      <c r="E13" s="1" t="s">
        <v>49</v>
      </c>
      <c r="F13" s="1" t="s">
        <v>60</v>
      </c>
      <c r="G13" s="6"/>
      <c r="H13" s="1" t="s">
        <v>60</v>
      </c>
      <c r="I13" s="1" t="s">
        <v>69</v>
      </c>
      <c r="J13" s="1" t="s">
        <v>70</v>
      </c>
      <c r="K13" s="6"/>
      <c r="L13" s="1" t="s">
        <v>70</v>
      </c>
      <c r="M13" s="1">
        <v>3</v>
      </c>
      <c r="N13" s="1" t="s">
        <v>25</v>
      </c>
    </row>
    <row r="14" spans="1:14" x14ac:dyDescent="0.35">
      <c r="A14" s="1" t="s">
        <v>51</v>
      </c>
      <c r="B14" s="1" t="s">
        <v>52</v>
      </c>
      <c r="C14" s="1" t="s">
        <v>53</v>
      </c>
      <c r="D14" s="6"/>
      <c r="E14" s="1" t="s">
        <v>52</v>
      </c>
      <c r="F14" s="1" t="s">
        <v>61</v>
      </c>
      <c r="G14" s="6"/>
      <c r="H14" s="1" t="s">
        <v>61</v>
      </c>
      <c r="I14" s="1" t="s">
        <v>71</v>
      </c>
      <c r="J14" s="1" t="s">
        <v>72</v>
      </c>
      <c r="K14" s="6"/>
      <c r="L14" s="1" t="s">
        <v>72</v>
      </c>
      <c r="M14" s="1">
        <v>6</v>
      </c>
      <c r="N14" s="1" t="s">
        <v>75</v>
      </c>
    </row>
    <row r="15" spans="1:14" ht="17.5" customHeight="1" x14ac:dyDescent="0.35">
      <c r="A15" s="1" t="s">
        <v>54</v>
      </c>
      <c r="B15" s="1" t="s">
        <v>55</v>
      </c>
      <c r="C15" s="1" t="s">
        <v>56</v>
      </c>
      <c r="D15" s="6"/>
      <c r="E15" s="1" t="s">
        <v>55</v>
      </c>
      <c r="F15" s="1" t="s">
        <v>62</v>
      </c>
      <c r="G15" s="6"/>
      <c r="H15" s="1" t="s">
        <v>62</v>
      </c>
      <c r="I15" s="1" t="s">
        <v>73</v>
      </c>
      <c r="J15" s="1" t="s">
        <v>74</v>
      </c>
      <c r="K15" s="6"/>
      <c r="L15" s="1" t="s">
        <v>74</v>
      </c>
      <c r="M15" s="1">
        <v>4</v>
      </c>
      <c r="N15" s="1" t="s">
        <v>36</v>
      </c>
    </row>
    <row r="18" spans="1:13" ht="50.5" customHeight="1" x14ac:dyDescent="0.35">
      <c r="A18" s="52" t="s">
        <v>77</v>
      </c>
      <c r="B18" s="53"/>
      <c r="C18" s="54"/>
      <c r="D18" s="39"/>
      <c r="E18" s="57" t="s">
        <v>79</v>
      </c>
      <c r="F18" s="58"/>
      <c r="G18" s="40"/>
      <c r="H18" s="59" t="s">
        <v>81</v>
      </c>
      <c r="I18" s="60"/>
      <c r="J18" s="40"/>
      <c r="L18" s="63" t="s">
        <v>83</v>
      </c>
      <c r="M18" s="64"/>
    </row>
    <row r="19" spans="1:13" x14ac:dyDescent="0.35">
      <c r="A19" s="55" t="s">
        <v>78</v>
      </c>
      <c r="B19" s="55" t="s">
        <v>2</v>
      </c>
      <c r="C19" s="55" t="s">
        <v>35</v>
      </c>
      <c r="D19" s="40"/>
      <c r="E19" s="48" t="s">
        <v>80</v>
      </c>
      <c r="F19" s="48" t="s">
        <v>33</v>
      </c>
      <c r="G19" s="40"/>
      <c r="H19" s="61" t="s">
        <v>82</v>
      </c>
      <c r="I19" s="61" t="s">
        <v>2</v>
      </c>
      <c r="J19" s="40"/>
      <c r="L19" s="65" t="s">
        <v>84</v>
      </c>
      <c r="M19" s="65" t="s">
        <v>85</v>
      </c>
    </row>
    <row r="20" spans="1:13" x14ac:dyDescent="0.35">
      <c r="A20" s="56" t="s">
        <v>45</v>
      </c>
      <c r="B20" s="56" t="str">
        <f>VLOOKUP(VLOOKUP(VLOOKUP(A20,Table2[#All],2,0),Table3[#All],2,0),Table4[#All],3,0)</f>
        <v>Botany</v>
      </c>
      <c r="C20" s="56" t="str">
        <f>VLOOKUP(B20,Table5[#All],3,0)</f>
        <v>12 months</v>
      </c>
      <c r="D20" s="40"/>
      <c r="E20" s="49" t="s">
        <v>45</v>
      </c>
      <c r="F20" s="49" t="str">
        <f>VLOOKUP(VLOOKUP(E20,Table2[#All],2,0),Table3[#All],2,0)</f>
        <v>Dr. S. Kaul</v>
      </c>
      <c r="G20" s="40"/>
      <c r="H20" s="62" t="s">
        <v>49</v>
      </c>
      <c r="I20" s="62" t="str">
        <f>VLOOKUP(VLOOKUP(H20,Table3[#All],2,0),Table4[#All],3,0)</f>
        <v>Microeconomics</v>
      </c>
      <c r="J20" s="40"/>
      <c r="L20" s="66">
        <v>5</v>
      </c>
      <c r="M20" s="66" t="str" cm="1">
        <f t="array" ref="M20">_xlfn.XLOOKUP(L20,Table5[[#All],[Credits]],Table4[[#All],[Department]])</f>
        <v>Science</v>
      </c>
    </row>
  </sheetData>
  <mergeCells count="9">
    <mergeCell ref="A1:N3"/>
    <mergeCell ref="A18:C18"/>
    <mergeCell ref="A4:C4"/>
    <mergeCell ref="E4:F4"/>
    <mergeCell ref="H4:J4"/>
    <mergeCell ref="L4:N4"/>
    <mergeCell ref="L18:M18"/>
    <mergeCell ref="H18:I18"/>
    <mergeCell ref="E18:F18"/>
  </mergeCells>
  <dataValidations count="3">
    <dataValidation type="list" allowBlank="1" showInputMessage="1" showErrorMessage="1" sqref="A20 E20" xr:uid="{8EF1A8EC-688C-4287-A3EC-B8F33AB7815B}">
      <formula1>$A$6:$A$15</formula1>
    </dataValidation>
    <dataValidation type="list" allowBlank="1" showInputMessage="1" showErrorMessage="1" sqref="H20" xr:uid="{19B1E4E7-4151-41F3-B884-838CE35D7713}">
      <formula1>$B$6:$B$15</formula1>
    </dataValidation>
    <dataValidation type="list" allowBlank="1" showInputMessage="1" showErrorMessage="1" sqref="L20" xr:uid="{C9857572-79AD-4729-BF88-28EE081C5796}">
      <formula1>$M$6:$M$15</formula1>
    </dataValidation>
  </dataValidations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DFFC-122C-4D56-9A84-485DE38AC954}">
  <dimension ref="A2:Q19"/>
  <sheetViews>
    <sheetView topLeftCell="C1" zoomScale="71" zoomScaleNormal="71" workbookViewId="0">
      <selection activeCell="O2" sqref="O2:P3"/>
    </sheetView>
  </sheetViews>
  <sheetFormatPr defaultRowHeight="14.5" x14ac:dyDescent="0.35"/>
  <cols>
    <col min="1" max="1" width="12.6328125" bestFit="1" customWidth="1"/>
    <col min="2" max="2" width="11.453125" bestFit="1" customWidth="1"/>
    <col min="3" max="3" width="10.54296875" bestFit="1" customWidth="1"/>
    <col min="4" max="4" width="11.26953125" bestFit="1" customWidth="1"/>
    <col min="5" max="5" width="11.08984375" customWidth="1"/>
    <col min="6" max="6" width="11.90625" bestFit="1" customWidth="1"/>
    <col min="7" max="7" width="13.08984375" bestFit="1" customWidth="1"/>
    <col min="8" max="8" width="9.36328125" bestFit="1" customWidth="1"/>
    <col min="9" max="9" width="14.36328125" bestFit="1" customWidth="1"/>
    <col min="10" max="10" width="12" bestFit="1" customWidth="1"/>
    <col min="11" max="11" width="10.36328125" bestFit="1" customWidth="1"/>
    <col min="13" max="14" width="8.7265625" customWidth="1"/>
    <col min="15" max="15" width="16.36328125" bestFit="1" customWidth="1"/>
    <col min="16" max="16" width="14.90625" customWidth="1"/>
  </cols>
  <sheetData>
    <row r="2" spans="1:17" ht="21.5" customHeight="1" x14ac:dyDescent="0.35">
      <c r="A2" s="7" t="s">
        <v>0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39</v>
      </c>
      <c r="G2" s="7" t="s">
        <v>42</v>
      </c>
      <c r="H2" s="7" t="s">
        <v>45</v>
      </c>
      <c r="I2" s="7" t="s">
        <v>48</v>
      </c>
      <c r="J2" s="7" t="s">
        <v>51</v>
      </c>
      <c r="K2" s="16" t="s">
        <v>54</v>
      </c>
      <c r="L2" s="36" t="s">
        <v>76</v>
      </c>
      <c r="M2" s="36"/>
      <c r="N2" s="15"/>
      <c r="O2" s="72" t="s">
        <v>77</v>
      </c>
      <c r="P2" s="73"/>
      <c r="Q2" s="42"/>
    </row>
    <row r="3" spans="1:17" ht="23" customHeight="1" x14ac:dyDescent="0.35">
      <c r="A3" s="8" t="s">
        <v>3</v>
      </c>
      <c r="B3" s="8" t="s">
        <v>5</v>
      </c>
      <c r="C3" s="8" t="s">
        <v>7</v>
      </c>
      <c r="D3" s="8" t="s">
        <v>9</v>
      </c>
      <c r="E3" s="8" t="s">
        <v>11</v>
      </c>
      <c r="F3" s="8" t="s">
        <v>40</v>
      </c>
      <c r="G3" s="8" t="s">
        <v>43</v>
      </c>
      <c r="H3" s="8" t="s">
        <v>46</v>
      </c>
      <c r="I3" s="8" t="s">
        <v>49</v>
      </c>
      <c r="J3" s="8" t="s">
        <v>52</v>
      </c>
      <c r="K3" s="17" t="s">
        <v>55</v>
      </c>
      <c r="L3" s="36"/>
      <c r="M3" s="36"/>
      <c r="N3" s="15"/>
      <c r="O3" s="74"/>
      <c r="P3" s="75"/>
      <c r="Q3" s="42"/>
    </row>
    <row r="4" spans="1:17" ht="28" customHeight="1" x14ac:dyDescent="0.35">
      <c r="A4" s="1" t="s">
        <v>1</v>
      </c>
      <c r="B4" s="1" t="s">
        <v>4</v>
      </c>
      <c r="C4" s="1" t="s">
        <v>6</v>
      </c>
      <c r="D4" s="1" t="s">
        <v>8</v>
      </c>
      <c r="E4" s="1" t="s">
        <v>10</v>
      </c>
      <c r="F4" s="1" t="s">
        <v>41</v>
      </c>
      <c r="G4" s="1" t="s">
        <v>44</v>
      </c>
      <c r="H4" s="1" t="s">
        <v>47</v>
      </c>
      <c r="I4" s="1" t="s">
        <v>50</v>
      </c>
      <c r="J4" s="1" t="s">
        <v>53</v>
      </c>
      <c r="K4" s="18" t="s">
        <v>56</v>
      </c>
      <c r="L4" s="36"/>
      <c r="M4" s="36"/>
      <c r="N4" s="15"/>
      <c r="O4" s="71" t="s">
        <v>78</v>
      </c>
      <c r="P4" s="43" t="s">
        <v>31</v>
      </c>
      <c r="Q4" s="40"/>
    </row>
    <row r="5" spans="1:17" x14ac:dyDescent="0.35">
      <c r="L5" s="36"/>
      <c r="M5" s="36"/>
      <c r="N5" s="15"/>
      <c r="O5" s="70" t="s">
        <v>2</v>
      </c>
      <c r="P5" s="43" t="str">
        <f>HLOOKUP(HLOOKUP(HLOOKUP(P4,A2:K4,2,0),_xlfn.ANCHORARRAY(A7),2,0),_xlfn.ANCHORARRAY(A11),3,0)</f>
        <v>Accounts</v>
      </c>
      <c r="Q5" s="40"/>
    </row>
    <row r="6" spans="1:17" x14ac:dyDescent="0.35">
      <c r="L6" s="36"/>
      <c r="M6" s="36"/>
      <c r="N6" s="15"/>
      <c r="O6" s="70" t="s">
        <v>35</v>
      </c>
      <c r="P6" s="43" t="str">
        <f>HLOOKUP(P5,_xlfn.ANCHORARRAY(A15),3,0)</f>
        <v>6 months</v>
      </c>
      <c r="Q6" s="40"/>
    </row>
    <row r="7" spans="1:17" ht="29" x14ac:dyDescent="0.35">
      <c r="A7" s="9" t="str" cm="1">
        <f t="array" ref="A7:K8">TRANSPOSE(Table3[#All])</f>
        <v>Department ID</v>
      </c>
      <c r="B7" s="9" t="str">
        <v>D01</v>
      </c>
      <c r="C7" s="9" t="str">
        <v>D02</v>
      </c>
      <c r="D7" s="9" t="str">
        <v>D03</v>
      </c>
      <c r="E7" s="9" t="str">
        <v>D04</v>
      </c>
      <c r="F7" s="9" t="str">
        <v>D05</v>
      </c>
      <c r="G7" s="9" t="str">
        <v>D06</v>
      </c>
      <c r="H7" s="9" t="str">
        <v>D07</v>
      </c>
      <c r="I7" s="9" t="str">
        <v>D08</v>
      </c>
      <c r="J7" s="9" t="str">
        <v>D09</v>
      </c>
      <c r="K7" s="19" t="str">
        <v>D10</v>
      </c>
      <c r="L7" s="36"/>
      <c r="M7" s="36"/>
      <c r="N7" s="15"/>
      <c r="O7" s="41"/>
      <c r="P7" s="41"/>
      <c r="Q7" s="40"/>
    </row>
    <row r="8" spans="1:17" ht="32" customHeight="1" x14ac:dyDescent="0.35">
      <c r="A8" s="10" t="str">
        <v>HOD</v>
      </c>
      <c r="B8" s="10" t="str">
        <v>Dr. K. Mehta</v>
      </c>
      <c r="C8" s="10" t="str">
        <v>Prof. S. Nair</v>
      </c>
      <c r="D8" s="10" t="str">
        <v>Dr. V. Kapoor</v>
      </c>
      <c r="E8" s="10" t="str">
        <v>Dr. A. Bansal</v>
      </c>
      <c r="F8" s="10" t="str">
        <v>Dr. R. Pandey</v>
      </c>
      <c r="G8" s="10" t="str">
        <v>Prof. L. Saxena</v>
      </c>
      <c r="H8" s="10" t="str">
        <v>Dr. S. Kaul</v>
      </c>
      <c r="I8" s="10" t="str">
        <v>Prof. M. Joshi</v>
      </c>
      <c r="J8" s="10" t="str">
        <v>Dr. H. Pillai</v>
      </c>
      <c r="K8" s="20" t="str">
        <v>Prof. G. Iyer</v>
      </c>
      <c r="L8" s="36"/>
      <c r="M8" s="36"/>
      <c r="N8" s="15"/>
      <c r="O8" s="69" t="s">
        <v>79</v>
      </c>
      <c r="P8" s="69"/>
      <c r="Q8" s="40"/>
    </row>
    <row r="9" spans="1:17" x14ac:dyDescent="0.35">
      <c r="L9" s="36"/>
      <c r="M9" s="36"/>
      <c r="N9" s="15"/>
      <c r="O9" s="68" t="s">
        <v>78</v>
      </c>
      <c r="P9" s="43" t="s">
        <v>42</v>
      </c>
      <c r="Q9" s="40"/>
    </row>
    <row r="10" spans="1:17" x14ac:dyDescent="0.35">
      <c r="L10" s="36"/>
      <c r="M10" s="36"/>
      <c r="N10" s="15"/>
      <c r="O10" s="68" t="s">
        <v>33</v>
      </c>
      <c r="P10" s="43" t="str">
        <f>HLOOKUP(HLOOKUP(P9,A2:K4,2,0),_xlfn.ANCHORARRAY(A7),2,0)</f>
        <v>Prof. L. Saxena</v>
      </c>
      <c r="Q10" s="40"/>
    </row>
    <row r="11" spans="1:17" ht="29" x14ac:dyDescent="0.35">
      <c r="A11" s="11" t="str" cm="1">
        <f t="array" ref="A11:K13">TRANSPOSE(Table4[#All])</f>
        <v>HOD</v>
      </c>
      <c r="B11" s="11" t="str">
        <v>Dr. K. Mehta</v>
      </c>
      <c r="C11" s="11" t="str">
        <v>Prof. S. Nair</v>
      </c>
      <c r="D11" s="11" t="str">
        <v>Dr. V. Kapoor</v>
      </c>
      <c r="E11" s="11" t="str">
        <v>Dr. A. Bansal</v>
      </c>
      <c r="F11" s="11" t="str">
        <v>Dr. R. Pandey</v>
      </c>
      <c r="G11" s="11" t="str">
        <v>Prof. L. Saxena</v>
      </c>
      <c r="H11" s="11" t="str">
        <v>Dr. S. Kaul</v>
      </c>
      <c r="I11" s="11" t="str">
        <v>Prof. M. Joshi</v>
      </c>
      <c r="J11" s="11" t="str">
        <v>Dr. H. Pillai</v>
      </c>
      <c r="K11" s="21" t="str">
        <v>Prof. G. Iyer</v>
      </c>
      <c r="L11" s="36"/>
      <c r="M11" s="36"/>
      <c r="N11" s="15"/>
      <c r="O11" s="41"/>
      <c r="P11" s="41"/>
      <c r="Q11" s="40"/>
    </row>
    <row r="12" spans="1:17" ht="29" x14ac:dyDescent="0.35">
      <c r="A12" s="12" t="str">
        <v>Department</v>
      </c>
      <c r="B12" s="12" t="str">
        <v>Mathematics</v>
      </c>
      <c r="C12" s="12" t="str">
        <v>Science</v>
      </c>
      <c r="D12" s="12" t="str">
        <v>Commerce</v>
      </c>
      <c r="E12" s="12" t="str">
        <v>Arts</v>
      </c>
      <c r="F12" s="12" t="str">
        <v>Computer Science</v>
      </c>
      <c r="G12" s="12" t="str">
        <v>English</v>
      </c>
      <c r="H12" s="12" t="str">
        <v>Biology</v>
      </c>
      <c r="I12" s="12" t="str">
        <v>Economics</v>
      </c>
      <c r="J12" s="12" t="str">
        <v>Engineering</v>
      </c>
      <c r="K12" s="22" t="str">
        <v>Psychology</v>
      </c>
      <c r="L12" s="36"/>
      <c r="M12" s="36"/>
      <c r="N12" s="15"/>
      <c r="O12" s="46" t="s">
        <v>86</v>
      </c>
      <c r="P12" s="46"/>
      <c r="Q12" s="40"/>
    </row>
    <row r="13" spans="1:17" ht="29" x14ac:dyDescent="0.35">
      <c r="A13" s="1" t="str">
        <v>Major Subject</v>
      </c>
      <c r="B13" s="1" t="str">
        <v>Algebra</v>
      </c>
      <c r="C13" s="1" t="str">
        <v>Physics</v>
      </c>
      <c r="D13" s="1" t="str">
        <v>Accounts</v>
      </c>
      <c r="E13" s="1" t="str">
        <v>History</v>
      </c>
      <c r="F13" s="1" t="str">
        <v>Programming</v>
      </c>
      <c r="G13" s="1" t="str">
        <v>Literature</v>
      </c>
      <c r="H13" s="1" t="str">
        <v>Botany</v>
      </c>
      <c r="I13" s="1" t="str">
        <v>Microeconomics</v>
      </c>
      <c r="J13" s="1" t="str">
        <v>Mechanics</v>
      </c>
      <c r="K13" s="18" t="str">
        <v>Human Behaviour</v>
      </c>
      <c r="L13" s="36"/>
      <c r="M13" s="36"/>
      <c r="N13" s="15"/>
      <c r="O13" s="67" t="s">
        <v>3</v>
      </c>
      <c r="P13" s="43" t="s">
        <v>49</v>
      </c>
      <c r="Q13" s="40"/>
    </row>
    <row r="14" spans="1:17" x14ac:dyDescent="0.35">
      <c r="L14" s="36"/>
      <c r="M14" s="36"/>
      <c r="N14" s="15"/>
      <c r="O14" s="67" t="s">
        <v>2</v>
      </c>
      <c r="P14" s="43" t="str">
        <f>HLOOKUP(HLOOKUP(P13,_xlfn.ANCHORARRAY(A7),2,0),_xlfn.ANCHORARRAY(A11),3,0)</f>
        <v>Microeconomics</v>
      </c>
      <c r="Q14" s="40"/>
    </row>
    <row r="15" spans="1:17" ht="29" x14ac:dyDescent="0.35">
      <c r="A15" s="13" t="str" cm="1">
        <f t="array" ref="A15:K17">TRANSPOSE(Table5[#All])</f>
        <v>Major Subject</v>
      </c>
      <c r="B15" s="13" t="str">
        <v>Algebra</v>
      </c>
      <c r="C15" s="13" t="str">
        <v>Physics</v>
      </c>
      <c r="D15" s="13" t="str">
        <v>Accounts</v>
      </c>
      <c r="E15" s="13" t="str">
        <v>History</v>
      </c>
      <c r="F15" s="13" t="str">
        <v>Programming</v>
      </c>
      <c r="G15" s="13" t="str">
        <v>Literature</v>
      </c>
      <c r="H15" s="13" t="str">
        <v>Botany</v>
      </c>
      <c r="I15" s="13" t="str">
        <v>Microeconomics</v>
      </c>
      <c r="J15" s="13" t="str">
        <v>Mechanics</v>
      </c>
      <c r="K15" s="23" t="str">
        <v>Human Behaviour</v>
      </c>
      <c r="L15" s="36"/>
      <c r="M15" s="36"/>
      <c r="N15" s="15"/>
      <c r="O15" s="41"/>
      <c r="P15" s="41"/>
      <c r="Q15" s="40"/>
    </row>
    <row r="16" spans="1:17" ht="14.5" customHeight="1" x14ac:dyDescent="0.35">
      <c r="A16" s="14" t="str">
        <v>Credits</v>
      </c>
      <c r="B16" s="14">
        <v>4</v>
      </c>
      <c r="C16" s="14">
        <v>5</v>
      </c>
      <c r="D16" s="14">
        <v>3</v>
      </c>
      <c r="E16" s="14">
        <v>4</v>
      </c>
      <c r="F16" s="14">
        <v>6</v>
      </c>
      <c r="G16" s="14">
        <v>4</v>
      </c>
      <c r="H16" s="14">
        <v>5</v>
      </c>
      <c r="I16" s="14">
        <v>3</v>
      </c>
      <c r="J16" s="14">
        <v>6</v>
      </c>
      <c r="K16" s="24">
        <v>4</v>
      </c>
      <c r="L16" s="36"/>
      <c r="M16" s="36"/>
      <c r="N16" s="15"/>
      <c r="O16" s="47" t="s">
        <v>83</v>
      </c>
      <c r="P16" s="47"/>
      <c r="Q16" s="40"/>
    </row>
    <row r="17" spans="1:17" x14ac:dyDescent="0.35">
      <c r="A17" s="1" t="str">
        <v>Duration</v>
      </c>
      <c r="B17" s="1" t="str">
        <v>6 months</v>
      </c>
      <c r="C17" s="1" t="str">
        <v>12 months</v>
      </c>
      <c r="D17" s="1" t="str">
        <v>6 months</v>
      </c>
      <c r="E17" s="1" t="str">
        <v>12 months</v>
      </c>
      <c r="F17" s="1" t="str">
        <v>18 months</v>
      </c>
      <c r="G17" s="1" t="str">
        <v>12 months</v>
      </c>
      <c r="H17" s="1" t="str">
        <v>12 months</v>
      </c>
      <c r="I17" s="1" t="str">
        <v>6 months</v>
      </c>
      <c r="J17" s="1" t="str">
        <v>18 months</v>
      </c>
      <c r="K17" s="18" t="str">
        <v>12 months</v>
      </c>
      <c r="L17" s="36"/>
      <c r="M17" s="36"/>
      <c r="N17" s="15"/>
      <c r="O17" s="47"/>
      <c r="P17" s="47"/>
      <c r="Q17" s="40"/>
    </row>
    <row r="18" spans="1:17" x14ac:dyDescent="0.35">
      <c r="O18" s="50" t="s">
        <v>84</v>
      </c>
      <c r="P18" s="43">
        <v>3</v>
      </c>
      <c r="Q18" s="40"/>
    </row>
    <row r="19" spans="1:17" x14ac:dyDescent="0.35">
      <c r="O19" s="50" t="s">
        <v>85</v>
      </c>
      <c r="P19" s="43" t="str">
        <f>_xlfn.XLOOKUP(P18,A16:K16,A12:K12)</f>
        <v>Commerce</v>
      </c>
      <c r="Q19" s="40"/>
    </row>
  </sheetData>
  <mergeCells count="5">
    <mergeCell ref="L2:M17"/>
    <mergeCell ref="O8:P8"/>
    <mergeCell ref="O12:P12"/>
    <mergeCell ref="O16:P17"/>
    <mergeCell ref="O2:P3"/>
  </mergeCells>
  <dataValidations count="3">
    <dataValidation type="list" allowBlank="1" showInputMessage="1" showErrorMessage="1" sqref="P4 P9" xr:uid="{0C590C92-5684-4133-B9B0-18146C72DB98}">
      <formula1>$B$2:$K$2</formula1>
    </dataValidation>
    <dataValidation type="list" allowBlank="1" showInputMessage="1" showErrorMessage="1" sqref="P13" xr:uid="{8702D9D4-EE81-4902-B8EC-7DA2CAD0B023}">
      <formula1>$B$7:$K$7</formula1>
    </dataValidation>
    <dataValidation type="list" allowBlank="1" showInputMessage="1" showErrorMessage="1" sqref="P18" xr:uid="{CA8E1517-FD44-4C33-88E9-19317538BDA1}">
      <formula1>$B$16:$K$16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7661-CBE8-448A-971F-89308B5C68C9}">
  <dimension ref="A1:R22"/>
  <sheetViews>
    <sheetView tabSelected="1" topLeftCell="A3" zoomScale="73" workbookViewId="0">
      <selection activeCell="H24" sqref="H24"/>
    </sheetView>
  </sheetViews>
  <sheetFormatPr defaultRowHeight="14.5" x14ac:dyDescent="0.35"/>
  <cols>
    <col min="1" max="1" width="14.81640625" bestFit="1" customWidth="1"/>
    <col min="2" max="2" width="16.7265625" customWidth="1"/>
    <col min="3" max="3" width="17" bestFit="1" customWidth="1"/>
    <col min="5" max="5" width="15.36328125" bestFit="1" customWidth="1"/>
    <col min="6" max="6" width="17.26953125" customWidth="1"/>
    <col min="8" max="8" width="13.08984375" bestFit="1" customWidth="1"/>
    <col min="9" max="9" width="14.81640625" customWidth="1"/>
    <col min="10" max="10" width="10.54296875" bestFit="1" customWidth="1"/>
    <col min="11" max="11" width="11.453125" bestFit="1" customWidth="1"/>
    <col min="12" max="12" width="11.26953125" bestFit="1" customWidth="1"/>
    <col min="13" max="13" width="11.90625" bestFit="1" customWidth="1"/>
    <col min="14" max="14" width="13.08984375" bestFit="1" customWidth="1"/>
    <col min="15" max="15" width="9.36328125" bestFit="1" customWidth="1"/>
    <col min="16" max="16" width="14.36328125" customWidth="1"/>
    <col min="17" max="17" width="10.1796875" bestFit="1" customWidth="1"/>
    <col min="18" max="18" width="10.36328125" bestFit="1" customWidth="1"/>
  </cols>
  <sheetData>
    <row r="1" spans="1:18" ht="30" thickTop="1" thickBot="1" x14ac:dyDescent="0.65">
      <c r="A1" s="37" t="s">
        <v>37</v>
      </c>
      <c r="B1" s="37"/>
      <c r="C1" s="37"/>
      <c r="E1" s="38" t="s">
        <v>26</v>
      </c>
      <c r="F1" s="38"/>
      <c r="H1" s="27" t="str" cm="1">
        <f t="array" ref="H1:R3">TRANSPOSE(Table4[#All])</f>
        <v>HOD</v>
      </c>
      <c r="I1" s="27" t="str">
        <v>Dr. K. Mehta</v>
      </c>
      <c r="J1" s="27" t="str">
        <v>Prof. S. Nair</v>
      </c>
      <c r="K1" s="27" t="str">
        <v>Dr. V. Kapoor</v>
      </c>
      <c r="L1" s="27" t="str">
        <v>Dr. A. Bansal</v>
      </c>
      <c r="M1" s="27" t="str">
        <v>Dr. R. Pandey</v>
      </c>
      <c r="N1" s="27" t="str">
        <v>Prof. L. Saxena</v>
      </c>
      <c r="O1" s="27" t="str">
        <v>Dr. S. Kaul</v>
      </c>
      <c r="P1" s="27" t="str">
        <v>Prof. M. Joshi</v>
      </c>
      <c r="Q1" s="27" t="str">
        <v>Dr. H. Pillai</v>
      </c>
      <c r="R1" s="27" t="str">
        <v>Prof. G. Iyer</v>
      </c>
    </row>
    <row r="2" spans="1:18" ht="30" thickTop="1" thickBot="1" x14ac:dyDescent="0.4">
      <c r="A2" s="26" t="s">
        <v>0</v>
      </c>
      <c r="B2" s="26" t="s">
        <v>3</v>
      </c>
      <c r="C2" s="26" t="s">
        <v>1</v>
      </c>
      <c r="E2" s="26" t="s">
        <v>3</v>
      </c>
      <c r="F2" s="26" t="s">
        <v>33</v>
      </c>
      <c r="H2" s="28" t="str">
        <v>Department</v>
      </c>
      <c r="I2" s="28" t="str">
        <v>Mathematics</v>
      </c>
      <c r="J2" s="28" t="str">
        <v>Science</v>
      </c>
      <c r="K2" s="28" t="str">
        <v>Commerce</v>
      </c>
      <c r="L2" s="28" t="str">
        <v>Arts</v>
      </c>
      <c r="M2" s="28" t="str">
        <v>Computer Science</v>
      </c>
      <c r="N2" s="28" t="str">
        <v>English</v>
      </c>
      <c r="O2" s="28" t="str">
        <v>Biology</v>
      </c>
      <c r="P2" s="28" t="str">
        <v>Economics</v>
      </c>
      <c r="Q2" s="28" t="str">
        <v>Engineering</v>
      </c>
      <c r="R2" s="28" t="str">
        <v>Psychology</v>
      </c>
    </row>
    <row r="3" spans="1:18" ht="30" thickTop="1" thickBot="1" x14ac:dyDescent="0.4">
      <c r="A3" s="25" t="s">
        <v>29</v>
      </c>
      <c r="B3" s="25" t="s">
        <v>5</v>
      </c>
      <c r="C3" s="25" t="s">
        <v>4</v>
      </c>
      <c r="E3" s="25" t="s">
        <v>5</v>
      </c>
      <c r="F3" s="25" t="s">
        <v>12</v>
      </c>
      <c r="H3" s="25" t="str">
        <v>Major Subject</v>
      </c>
      <c r="I3" s="25" t="str">
        <v>Algebra</v>
      </c>
      <c r="J3" s="25" t="str">
        <v>Physics</v>
      </c>
      <c r="K3" s="25" t="str">
        <v>Accounts</v>
      </c>
      <c r="L3" s="25" t="str">
        <v>History</v>
      </c>
      <c r="M3" s="25" t="str">
        <v>Programming</v>
      </c>
      <c r="N3" s="25" t="str">
        <v>Literature</v>
      </c>
      <c r="O3" s="25" t="str">
        <v>Botany</v>
      </c>
      <c r="P3" s="25" t="str">
        <v>Microeconomics</v>
      </c>
      <c r="Q3" s="25" t="str">
        <v>Mechanics</v>
      </c>
      <c r="R3" s="25" t="str">
        <v>Human Behaviour</v>
      </c>
    </row>
    <row r="4" spans="1:18" ht="15.5" thickTop="1" thickBot="1" x14ac:dyDescent="0.4">
      <c r="A4" s="25" t="s">
        <v>30</v>
      </c>
      <c r="B4" s="25" t="s">
        <v>7</v>
      </c>
      <c r="C4" s="25" t="s">
        <v>6</v>
      </c>
      <c r="E4" s="25" t="s">
        <v>7</v>
      </c>
      <c r="F4" s="25" t="s">
        <v>13</v>
      </c>
    </row>
    <row r="5" spans="1:18" ht="15.5" thickTop="1" thickBot="1" x14ac:dyDescent="0.4">
      <c r="A5" s="25" t="s">
        <v>31</v>
      </c>
      <c r="B5" s="25" t="s">
        <v>9</v>
      </c>
      <c r="C5" s="25" t="s">
        <v>8</v>
      </c>
      <c r="E5" s="25" t="s">
        <v>9</v>
      </c>
      <c r="F5" s="25" t="s">
        <v>14</v>
      </c>
    </row>
    <row r="6" spans="1:18" ht="15.5" thickTop="1" thickBot="1" x14ac:dyDescent="0.4">
      <c r="A6" s="25" t="s">
        <v>32</v>
      </c>
      <c r="B6" s="25" t="s">
        <v>11</v>
      </c>
      <c r="C6" s="25" t="s">
        <v>10</v>
      </c>
      <c r="E6" s="25" t="s">
        <v>11</v>
      </c>
      <c r="F6" s="25" t="s">
        <v>15</v>
      </c>
    </row>
    <row r="7" spans="1:18" ht="30" thickTop="1" thickBot="1" x14ac:dyDescent="0.4">
      <c r="A7" s="25" t="s">
        <v>39</v>
      </c>
      <c r="B7" s="25" t="s">
        <v>40</v>
      </c>
      <c r="C7" s="25" t="s">
        <v>41</v>
      </c>
      <c r="E7" s="25" t="s">
        <v>40</v>
      </c>
      <c r="F7" s="25" t="s">
        <v>57</v>
      </c>
      <c r="H7" s="29" t="str" cm="1">
        <f t="array" ref="H7:R9">TRANSPOSE(Table5[#All])</f>
        <v>Major Subject</v>
      </c>
      <c r="I7" s="29" t="str">
        <v>Algebra</v>
      </c>
      <c r="J7" s="29" t="str">
        <v>Physics</v>
      </c>
      <c r="K7" s="29" t="str">
        <v>Accounts</v>
      </c>
      <c r="L7" s="29" t="str">
        <v>History</v>
      </c>
      <c r="M7" s="29" t="str">
        <v>Programming</v>
      </c>
      <c r="N7" s="29" t="str">
        <v>Literature</v>
      </c>
      <c r="O7" s="29" t="str">
        <v>Botany</v>
      </c>
      <c r="P7" s="29" t="str">
        <v>Microeconomics</v>
      </c>
      <c r="Q7" s="29" t="str">
        <v>Mechanics</v>
      </c>
      <c r="R7" s="29" t="str">
        <v>Human Behaviour</v>
      </c>
    </row>
    <row r="8" spans="1:18" ht="15.5" thickTop="1" thickBot="1" x14ac:dyDescent="0.4">
      <c r="A8" s="25" t="s">
        <v>42</v>
      </c>
      <c r="B8" s="25" t="s">
        <v>43</v>
      </c>
      <c r="C8" s="25" t="s">
        <v>44</v>
      </c>
      <c r="E8" s="25" t="s">
        <v>43</v>
      </c>
      <c r="F8" s="25" t="s">
        <v>58</v>
      </c>
      <c r="H8" s="30" t="str">
        <v>Credits</v>
      </c>
      <c r="I8" s="30">
        <v>4</v>
      </c>
      <c r="J8" s="30">
        <v>5</v>
      </c>
      <c r="K8" s="30">
        <v>3</v>
      </c>
      <c r="L8" s="30">
        <v>4</v>
      </c>
      <c r="M8" s="30">
        <v>6</v>
      </c>
      <c r="N8" s="30">
        <v>4</v>
      </c>
      <c r="O8" s="30">
        <v>5</v>
      </c>
      <c r="P8" s="30">
        <v>3</v>
      </c>
      <c r="Q8" s="30">
        <v>6</v>
      </c>
      <c r="R8" s="30">
        <v>4</v>
      </c>
    </row>
    <row r="9" spans="1:18" ht="15.5" thickTop="1" thickBot="1" x14ac:dyDescent="0.4">
      <c r="A9" s="25" t="s">
        <v>45</v>
      </c>
      <c r="B9" s="25" t="s">
        <v>46</v>
      </c>
      <c r="C9" s="25" t="s">
        <v>47</v>
      </c>
      <c r="E9" s="25" t="s">
        <v>46</v>
      </c>
      <c r="F9" s="25" t="s">
        <v>59</v>
      </c>
      <c r="H9" s="25" t="str">
        <v>Duration</v>
      </c>
      <c r="I9" s="25" t="str">
        <v>6 months</v>
      </c>
      <c r="J9" s="25" t="str">
        <v>12 months</v>
      </c>
      <c r="K9" s="25" t="str">
        <v>6 months</v>
      </c>
      <c r="L9" s="25" t="str">
        <v>12 months</v>
      </c>
      <c r="M9" s="25" t="str">
        <v>18 months</v>
      </c>
      <c r="N9" s="25" t="str">
        <v>12 months</v>
      </c>
      <c r="O9" s="25" t="str">
        <v>12 months</v>
      </c>
      <c r="P9" s="25" t="str">
        <v>6 months</v>
      </c>
      <c r="Q9" s="25" t="str">
        <v>18 months</v>
      </c>
      <c r="R9" s="25" t="str">
        <v>12 months</v>
      </c>
    </row>
    <row r="10" spans="1:18" ht="15.5" thickTop="1" thickBot="1" x14ac:dyDescent="0.4">
      <c r="A10" s="25" t="s">
        <v>48</v>
      </c>
      <c r="B10" s="25" t="s">
        <v>49</v>
      </c>
      <c r="C10" s="25" t="s">
        <v>50</v>
      </c>
      <c r="E10" s="25" t="s">
        <v>49</v>
      </c>
      <c r="F10" s="25" t="s">
        <v>60</v>
      </c>
    </row>
    <row r="11" spans="1:18" ht="15.5" thickTop="1" thickBot="1" x14ac:dyDescent="0.4">
      <c r="A11" s="25" t="s">
        <v>51</v>
      </c>
      <c r="B11" s="25" t="s">
        <v>52</v>
      </c>
      <c r="C11" s="25" t="s">
        <v>53</v>
      </c>
      <c r="E11" s="25" t="s">
        <v>52</v>
      </c>
      <c r="F11" s="25" t="s">
        <v>61</v>
      </c>
    </row>
    <row r="12" spans="1:18" ht="15.5" thickTop="1" thickBot="1" x14ac:dyDescent="0.4">
      <c r="A12" s="25" t="s">
        <v>54</v>
      </c>
      <c r="B12" s="25" t="s">
        <v>55</v>
      </c>
      <c r="C12" s="25" t="s">
        <v>56</v>
      </c>
      <c r="E12" s="25" t="s">
        <v>55</v>
      </c>
      <c r="F12" s="25" t="s">
        <v>62</v>
      </c>
    </row>
    <row r="13" spans="1:18" ht="15" thickTop="1" x14ac:dyDescent="0.35"/>
    <row r="15" spans="1:18" ht="43.5" customHeight="1" x14ac:dyDescent="0.35">
      <c r="A15" s="76" t="s">
        <v>87</v>
      </c>
      <c r="B15" s="76"/>
      <c r="C15" s="76"/>
      <c r="E15" s="77" t="s">
        <v>89</v>
      </c>
      <c r="F15" s="77"/>
      <c r="H15" s="47" t="s">
        <v>90</v>
      </c>
      <c r="I15" s="47"/>
      <c r="K15" s="44" t="s">
        <v>91</v>
      </c>
      <c r="L15" s="44"/>
    </row>
    <row r="16" spans="1:18" x14ac:dyDescent="0.35">
      <c r="A16" s="55" t="s">
        <v>78</v>
      </c>
      <c r="B16" s="55" t="s">
        <v>2</v>
      </c>
      <c r="C16" s="55" t="s">
        <v>35</v>
      </c>
      <c r="E16" s="48" t="s">
        <v>80</v>
      </c>
      <c r="F16" s="48" t="s">
        <v>33</v>
      </c>
      <c r="H16" s="50" t="s">
        <v>88</v>
      </c>
      <c r="I16" s="51" t="s">
        <v>69</v>
      </c>
    </row>
    <row r="17" spans="1:9" x14ac:dyDescent="0.35">
      <c r="A17" s="56" t="s">
        <v>48</v>
      </c>
      <c r="B17" s="56" t="str">
        <f>VLOOKUP(VLOOKUP(VLOOKUP(A17,Table2[#All],2,0),Table3[#All],2,0),Table4[#All],3,0)</f>
        <v>Microeconomics</v>
      </c>
      <c r="C17" s="56" t="str">
        <f>VLOOKUP(B17,Table5[#All],3,0)</f>
        <v>6 months</v>
      </c>
      <c r="E17" s="49" t="s">
        <v>51</v>
      </c>
      <c r="F17" s="49" t="str">
        <f>VLOOKUP(VLOOKUP(E17,Table2[#All],2,0),Table3[#All],2,0)</f>
        <v>Dr. H. Pillai</v>
      </c>
      <c r="H17" s="50" t="s">
        <v>2</v>
      </c>
      <c r="I17" s="51" t="str">
        <f>HLOOKUP(I16,H2:R3,2,0)</f>
        <v>Microeconomics</v>
      </c>
    </row>
    <row r="22" spans="1:9" x14ac:dyDescent="0.35">
      <c r="C22" s="45" t="s">
        <v>92</v>
      </c>
      <c r="D22" s="45"/>
      <c r="E22" s="45"/>
    </row>
  </sheetData>
  <mergeCells count="7">
    <mergeCell ref="K15:L15"/>
    <mergeCell ref="C22:E22"/>
    <mergeCell ref="A1:C1"/>
    <mergeCell ref="E1:F1"/>
    <mergeCell ref="A15:C15"/>
    <mergeCell ref="E15:F15"/>
    <mergeCell ref="H15:I15"/>
  </mergeCells>
  <dataValidations count="2">
    <dataValidation type="list" allowBlank="1" showInputMessage="1" showErrorMessage="1" sqref="A17 E17" xr:uid="{F8249C1A-5726-4FD5-AEB2-9F0C0908E16A}">
      <formula1>$A$6:$A$15</formula1>
    </dataValidation>
    <dataValidation type="list" allowBlank="1" showInputMessage="1" showErrorMessage="1" sqref="I16" xr:uid="{E99A3325-F36D-491F-9453-56E8B64C2952}">
      <formula1>$I$2:$R$2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NESTED VLOOKUP</vt:lpstr>
      <vt:lpstr>NESTED HLOOKUP</vt:lpstr>
      <vt:lpstr>NESTED VLOOKUP AND 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Yashantu Awana</dc:creator>
  <cp:lastModifiedBy>Yashantu Awana</cp:lastModifiedBy>
  <dcterms:created xsi:type="dcterms:W3CDTF">2025-11-10T05:59:18Z</dcterms:created>
  <dcterms:modified xsi:type="dcterms:W3CDTF">2025-11-17T06:14:35Z</dcterms:modified>
</cp:coreProperties>
</file>